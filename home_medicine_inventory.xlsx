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7aa29399134e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бзор" sheetId="1" r:id="Re1972cdb195744da"/>
    <x:sheet xmlns:r="http://schemas.openxmlformats.org/officeDocument/2006/relationships" name="Лекарства" sheetId="2" r:id="Rd38578f8fe2643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13">
    <x:font>
      <x:sz val="11"/>
      <x:name val="Carlito"/>
    </x:font>
    <x:font>
      <x:sz val="10"/>
      <x:color rgb="FF1D2A23"/>
      <x:name val="Arial"/>
    </x:font>
    <x:font>
      <x:b/>
      <x:sz val="16"/>
      <x:color rgb="FF153D2D"/>
      <x:name val="Arial"/>
    </x:font>
    <x:font>
      <x:i/>
      <x:sz val="10"/>
      <x:color rgb="FF66756D"/>
      <x:name val="Arial"/>
    </x:font>
    <x:font>
      <x:b/>
      <x:sz val="10"/>
      <x:color rgb="FF245C44"/>
      <x:name val="Arial"/>
    </x:font>
    <x:font>
      <x:b/>
      <x:sz val="14"/>
      <x:color rgb="FF153D2D"/>
      <x:name val="Arial"/>
    </x:font>
    <x:font>
      <x:b/>
      <x:sz val="10"/>
      <x:color rgb="FFFFFFFF"/>
      <x:name val="Arial"/>
    </x:font>
    <x:font>
      <x:b/>
      <x:sz val="10"/>
      <x:color rgb="FF5B4A15"/>
      <x:name val="Arial"/>
    </x:font>
    <x:font>
      <x:sz val="10"/>
      <x:color rgb="FF4F4A37"/>
      <x:name val="Arial"/>
    </x:font>
    <x:font>
      <x:i/>
      <x:sz val="9"/>
      <x:color rgb="FF6D756F"/>
      <x:name val="Arial"/>
    </x:font>
    <x:font>
      <x:b/>
      <x:sz val="10"/>
      <x:color rgb="FF9B3328"/>
      <x:name val="Arial"/>
    </x:font>
    <x:font>
      <x:i/>
      <x:sz val="9"/>
      <x:color rgb="FF66756D"/>
      <x:name val="Arial"/>
    </x:font>
    <x:font>
      <x:sz val="9"/>
      <x:color rgb="FF243029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E2F1E9"/>
      </x:patternFill>
    </x:fill>
    <x:fill>
      <x:patternFill patternType="solid">
        <x:fgColor rgb="FFF7FAF8"/>
      </x:patternFill>
    </x:fill>
    <x:fill>
      <x:patternFill patternType="solid">
        <x:fgColor rgb="FF286B50"/>
      </x:patternFill>
    </x:fill>
    <x:fill>
      <x:patternFill patternType="solid">
        <x:fgColor rgb="FFF3E7B5"/>
      </x:patternFill>
    </x:fill>
    <x:fill>
      <x:patternFill patternType="solid">
        <x:fgColor rgb="FFFFFDF4"/>
      </x:patternFill>
    </x:fill>
    <x:fill>
      <x:patternFill patternType="solid">
        <x:fgColor rgb="FFFBE9E7"/>
      </x:patternFill>
    </x:fill>
    <x:fill>
      <x:patternFill patternType="solid">
        <x:fgColor rgb="FF245C44"/>
      </x:patternFill>
    </x:fill>
  </x:fills>
  <x:borders count="27">
    <x:border>
      <x:left/>
      <x:right/>
      <x:top/>
      <x:bottom/>
      <x:diagonal/>
    </x:border>
    <x:border>
      <x:left style="thin">
        <x:color rgb="FFBFD8CA"/>
      </x:left>
      <x:right/>
      <x:top style="thin">
        <x:color rgb="FFBFD8CA"/>
      </x:top>
      <x:bottom/>
      <x:diagonal/>
    </x:border>
    <x:border>
      <x:left/>
      <x:right/>
      <x:top style="thin">
        <x:color rgb="FFBFD8CA"/>
      </x:top>
      <x:bottom/>
      <x:diagonal/>
    </x:border>
    <x:border>
      <x:left/>
      <x:right style="thin">
        <x:color rgb="FFBFD8CA"/>
      </x:right>
      <x:top style="thin">
        <x:color rgb="FFBFD8CA"/>
      </x:top>
      <x:bottom/>
      <x:diagonal/>
    </x:border>
    <x:border>
      <x:left style="thin">
        <x:color rgb="FFBFD8CA"/>
      </x:left>
      <x:right/>
      <x:top/>
      <x:bottom style="thin">
        <x:color rgb="FFBFD8CA"/>
      </x:bottom>
      <x:diagonal/>
    </x:border>
    <x:border>
      <x:left/>
      <x:right/>
      <x:top/>
      <x:bottom style="thin">
        <x:color rgb="FFBFD8CA"/>
      </x:bottom>
      <x:diagonal/>
    </x:border>
    <x:border>
      <x:left/>
      <x:right style="thin">
        <x:color rgb="FFBFD8CA"/>
      </x:right>
      <x:top/>
      <x:bottom style="thin">
        <x:color rgb="FFBFD8CA"/>
      </x:bottom>
      <x:diagonal/>
    </x:border>
    <x:border>
      <x:left/>
      <x:right/>
      <x:top/>
      <x:bottom style="thin">
        <x:color rgb="FFDCE5E0"/>
      </x:bottom>
      <x:diagonal/>
    </x:border>
    <x:border>
      <x:left/>
      <x:right/>
      <x:top style="thin">
        <x:color rgb="FFDCE5E0"/>
      </x:top>
      <x:bottom style="thin">
        <x:color rgb="FFDCE5E0"/>
      </x:bottom>
      <x:diagonal/>
    </x:border>
    <x:border>
      <x:left/>
      <x:right/>
      <x:top style="thin">
        <x:color rgb="FFDCE5E0"/>
      </x:top>
      <x:bottom style="thin">
        <x:color rgb="FFBFD1C7"/>
      </x:bottom>
      <x:diagonal/>
    </x:border>
    <x:border>
      <x:left style="thin">
        <x:color rgb="FFE5D79B"/>
      </x:left>
      <x:right/>
      <x:top style="thin">
        <x:color rgb="FFE5D79B"/>
      </x:top>
      <x:bottom/>
      <x:diagonal/>
    </x:border>
    <x:border>
      <x:left/>
      <x:right/>
      <x:top style="thin">
        <x:color rgb="FFE5D79B"/>
      </x:top>
      <x:bottom/>
      <x:diagonal/>
    </x:border>
    <x:border>
      <x:left/>
      <x:right style="thin">
        <x:color rgb="FFE5D79B"/>
      </x:right>
      <x:top style="thin">
        <x:color rgb="FFE5D79B"/>
      </x:top>
      <x:bottom/>
      <x:diagonal/>
    </x:border>
    <x:border>
      <x:left style="thin">
        <x:color rgb="FFE5D79B"/>
      </x:left>
      <x:right/>
      <x:top/>
      <x:bottom/>
      <x:diagonal/>
    </x:border>
    <x:border>
      <x:left/>
      <x:right style="thin">
        <x:color rgb="FFE5D79B"/>
      </x:right>
      <x:top/>
      <x:bottom/>
      <x:diagonal/>
    </x:border>
    <x:border>
      <x:left style="thin">
        <x:color rgb="FFE5D79B"/>
      </x:left>
      <x:right/>
      <x:top/>
      <x:bottom style="thin">
        <x:color rgb="FFE5D79B"/>
      </x:bottom>
      <x:diagonal/>
    </x:border>
    <x:border>
      <x:left/>
      <x:right/>
      <x:top/>
      <x:bottom style="thin">
        <x:color rgb="FFE5D79B"/>
      </x:bottom>
      <x:diagonal/>
    </x:border>
    <x:border>
      <x:left/>
      <x:right style="thin">
        <x:color rgb="FFE5D79B"/>
      </x:right>
      <x:top/>
      <x:bottom style="thin">
        <x:color rgb="FFE5D79B"/>
      </x:bottom>
      <x:diagonal/>
    </x:border>
    <x:border>
      <x:left style="thin">
        <x:color rgb="FFE7B7B0"/>
      </x:left>
      <x:right/>
      <x:top style="thin">
        <x:color rgb="FFE7B7B0"/>
      </x:top>
      <x:bottom/>
      <x:diagonal/>
    </x:border>
    <x:border>
      <x:left/>
      <x:right/>
      <x:top style="thin">
        <x:color rgb="FFE7B7B0"/>
      </x:top>
      <x:bottom/>
      <x:diagonal/>
    </x:border>
    <x:border>
      <x:left/>
      <x:right style="thin">
        <x:color rgb="FFE7B7B0"/>
      </x:right>
      <x:top style="thin">
        <x:color rgb="FFE7B7B0"/>
      </x:top>
      <x:bottom/>
      <x:diagonal/>
    </x:border>
    <x:border>
      <x:left style="thin">
        <x:color rgb="FFE7B7B0"/>
      </x:left>
      <x:right/>
      <x:top/>
      <x:bottom style="thin">
        <x:color rgb="FFE7B7B0"/>
      </x:bottom>
      <x:diagonal/>
    </x:border>
    <x:border>
      <x:left/>
      <x:right/>
      <x:top/>
      <x:bottom style="thin">
        <x:color rgb="FFE7B7B0"/>
      </x:bottom>
      <x:diagonal/>
    </x:border>
    <x:border>
      <x:left/>
      <x:right style="thin">
        <x:color rgb="FFE7B7B0"/>
      </x:right>
      <x:top/>
      <x:bottom style="thin">
        <x:color rgb="FFE7B7B0"/>
      </x:bottom>
      <x:diagonal/>
    </x:border>
    <x:border>
      <x:left/>
      <x:right/>
      <x:top/>
      <x:bottom style="thin">
        <x:color rgb="FFE3E9E5"/>
      </x:bottom>
      <x:diagonal/>
    </x:border>
    <x:border>
      <x:left/>
      <x:right/>
      <x:top style="thin">
        <x:color rgb="FFE3E9E5"/>
      </x:top>
      <x:bottom style="thin">
        <x:color rgb="FFE3E9E5"/>
      </x:bottom>
      <x:diagonal/>
    </x:border>
    <x:border>
      <x:left/>
      <x:right/>
      <x:top style="thin">
        <x:color rgb="FFE3E9E5"/>
      </x:top>
      <x:bottom style="thin">
        <x:color rgb="FFCAD7D0"/>
      </x:bottom>
      <x:diagonal/>
    </x:border>
  </x:borders>
  <x:cellStyleXfs count="1">
    <x:xf numFmtId="0" fontId="0" fillId="0" borderId="0"/>
  </x:cellStyleXfs>
  <x:cellXfs count="1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200" fontId="5" fillId="3" borderId="0" xfId="0" applyNumberFormat="1" applyFont="1" applyFill="1" applyBorder="1" applyAlignment="1">
      <x:alignment horizontal="center"/>
    </x:xf>
    <x:xf numFmtId="200" fontId="5" fillId="3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200" fontId="5" fillId="3" borderId="4" xfId="0" applyNumberFormat="1" applyFont="1" applyFill="1" applyBorder="1" applyAlignment="1">
      <x:alignment horizontal="center" vertical="center"/>
    </x:xf>
    <x:xf numFmtId="200" fontId="5" fillId="3" borderId="5" xfId="0" applyNumberFormat="1" applyFont="1" applyFill="1" applyBorder="1" applyAlignment="1">
      <x:alignment horizontal="center" vertical="center"/>
    </x:xf>
    <x:xf numFmtId="200" fontId="5" fillId="3" borderId="6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7" xfId="0" applyNumberFormat="1" applyFont="1" applyFill="1" applyBorder="1" applyAlignment="1">
      <x:alignment horizontal="center"/>
    </x:xf>
    <x:xf numFmtId="0" fontId="1" fillId="0" borderId="8" xfId="0" applyNumberFormat="1" applyFont="1" applyFill="1" applyBorder="1" applyAlignment="1">
      <x:alignment horizontal="center"/>
    </x:xf>
    <x:xf numFmtId="0" fontId="1" fillId="0" borderId="9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left"/>
    </x:xf>
    <x:xf numFmtId="0" fontId="1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10" xfId="0" applyNumberFormat="1" applyFont="1" applyFill="1" applyBorder="1"/>
    <x:xf numFmtId="0" fontId="8" fillId="6" borderId="11" xfId="0" applyNumberFormat="1" applyFont="1" applyFill="1" applyBorder="1"/>
    <x:xf numFmtId="0" fontId="8" fillId="6" borderId="12" xfId="0" applyNumberFormat="1" applyFont="1" applyFill="1" applyBorder="1"/>
    <x:xf numFmtId="0" fontId="8" fillId="6" borderId="13" xfId="0" applyNumberFormat="1" applyFont="1" applyFill="1" applyBorder="1"/>
    <x:xf numFmtId="0" fontId="8" fillId="6" borderId="14" xfId="0" applyNumberFormat="1" applyFont="1" applyFill="1" applyBorder="1"/>
    <x:xf numFmtId="0" fontId="8" fillId="6" borderId="15" xfId="0" applyNumberFormat="1" applyFont="1" applyFill="1" applyBorder="1"/>
    <x:xf numFmtId="0" fontId="8" fillId="6" borderId="16" xfId="0" applyNumberFormat="1" applyFont="1" applyFill="1" applyBorder="1"/>
    <x:xf numFmtId="0" fontId="8" fillId="6" borderId="17" xfId="0" applyNumberFormat="1" applyFont="1" applyFill="1" applyBorder="1"/>
    <x:xf numFmtId="0" fontId="8" fillId="6" borderId="10" xfId="0" applyNumberFormat="1" applyFont="1" applyFill="1" applyBorder="1" applyAlignment="1">
      <x:alignment wrapText="1"/>
    </x:xf>
    <x:xf numFmtId="0" fontId="8" fillId="6" borderId="11" xfId="0" applyNumberFormat="1" applyFont="1" applyFill="1" applyBorder="1" applyAlignment="1">
      <x:alignment wrapText="1"/>
    </x:xf>
    <x:xf numFmtId="0" fontId="8" fillId="6" borderId="12" xfId="0" applyNumberFormat="1" applyFont="1" applyFill="1" applyBorder="1" applyAlignment="1">
      <x:alignment wrapText="1"/>
    </x:xf>
    <x:xf numFmtId="0" fontId="8" fillId="6" borderId="13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wrapText="1"/>
    </x:xf>
    <x:xf numFmtId="0" fontId="8" fillId="6" borderId="14" xfId="0" applyNumberFormat="1" applyFont="1" applyFill="1" applyBorder="1" applyAlignment="1">
      <x:alignment wrapText="1"/>
    </x:xf>
    <x:xf numFmtId="0" fontId="8" fillId="6" borderId="15" xfId="0" applyNumberFormat="1" applyFont="1" applyFill="1" applyBorder="1" applyAlignment="1">
      <x:alignment wrapText="1"/>
    </x:xf>
    <x:xf numFmtId="0" fontId="8" fillId="6" borderId="16" xfId="0" applyNumberFormat="1" applyFont="1" applyFill="1" applyBorder="1" applyAlignment="1">
      <x:alignment wrapText="1"/>
    </x:xf>
    <x:xf numFmtId="0" fontId="8" fillId="6" borderId="17" xfId="0" applyNumberFormat="1" applyFont="1" applyFill="1" applyBorder="1" applyAlignment="1">
      <x:alignment wrapText="1"/>
    </x:xf>
    <x:xf numFmtId="0" fontId="8" fillId="6" borderId="10" xfId="0" applyNumberFormat="1" applyFont="1" applyFill="1" applyBorder="1" applyAlignment="1">
      <x:alignment vertical="top" wrapText="1"/>
    </x:xf>
    <x:xf numFmtId="0" fontId="8" fillId="6" borderId="11" xfId="0" applyNumberFormat="1" applyFont="1" applyFill="1" applyBorder="1" applyAlignment="1">
      <x:alignment vertical="top" wrapText="1"/>
    </x:xf>
    <x:xf numFmtId="0" fontId="8" fillId="6" borderId="12" xfId="0" applyNumberFormat="1" applyFont="1" applyFill="1" applyBorder="1" applyAlignment="1">
      <x:alignment vertical="top" wrapText="1"/>
    </x:xf>
    <x:xf numFmtId="0" fontId="8" fillId="6" borderId="13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 applyAlignment="1">
      <x:alignment vertical="top" wrapText="1"/>
    </x:xf>
    <x:xf numFmtId="0" fontId="8" fillId="6" borderId="14" xfId="0" applyNumberFormat="1" applyFont="1" applyFill="1" applyBorder="1" applyAlignment="1">
      <x:alignment vertical="top" wrapText="1"/>
    </x:xf>
    <x:xf numFmtId="0" fontId="8" fillId="6" borderId="15" xfId="0" applyNumberFormat="1" applyFont="1" applyFill="1" applyBorder="1" applyAlignment="1">
      <x:alignment vertical="top" wrapText="1"/>
    </x:xf>
    <x:xf numFmtId="0" fontId="8" fillId="6" borderId="16" xfId="0" applyNumberFormat="1" applyFont="1" applyFill="1" applyBorder="1" applyAlignment="1">
      <x:alignment vertical="top" wrapText="1"/>
    </x:xf>
    <x:xf numFmtId="0" fontId="8" fillId="6" borderId="17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0" fontId="1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18" xfId="0" applyNumberFormat="1" applyFont="1" applyFill="1" applyBorder="1"/>
    <x:xf numFmtId="0" fontId="10" fillId="7" borderId="19" xfId="0" applyNumberFormat="1" applyFont="1" applyFill="1" applyBorder="1"/>
    <x:xf numFmtId="0" fontId="10" fillId="7" borderId="20" xfId="0" applyNumberFormat="1" applyFont="1" applyFill="1" applyBorder="1"/>
    <x:xf numFmtId="0" fontId="10" fillId="7" borderId="21" xfId="0" applyNumberFormat="1" applyFont="1" applyFill="1" applyBorder="1"/>
    <x:xf numFmtId="0" fontId="10" fillId="7" borderId="22" xfId="0" applyNumberFormat="1" applyFont="1" applyFill="1" applyBorder="1"/>
    <x:xf numFmtId="0" fontId="10" fillId="7" borderId="23" xfId="0" applyNumberFormat="1" applyFont="1" applyFill="1" applyBorder="1"/>
    <x:xf numFmtId="0" fontId="10" fillId="7" borderId="18" xfId="0" applyNumberFormat="1" applyFont="1" applyFill="1" applyBorder="1" applyAlignment="1">
      <x:alignment wrapText="1"/>
    </x:xf>
    <x:xf numFmtId="0" fontId="10" fillId="7" borderId="19" xfId="0" applyNumberFormat="1" applyFont="1" applyFill="1" applyBorder="1" applyAlignment="1">
      <x:alignment wrapText="1"/>
    </x:xf>
    <x:xf numFmtId="0" fontId="10" fillId="7" borderId="20" xfId="0" applyNumberFormat="1" applyFont="1" applyFill="1" applyBorder="1" applyAlignment="1">
      <x:alignment wrapText="1"/>
    </x:xf>
    <x:xf numFmtId="0" fontId="10" fillId="7" borderId="21" xfId="0" applyNumberFormat="1" applyFont="1" applyFill="1" applyBorder="1" applyAlignment="1">
      <x:alignment wrapText="1"/>
    </x:xf>
    <x:xf numFmtId="0" fontId="10" fillId="7" borderId="22" xfId="0" applyNumberFormat="1" applyFont="1" applyFill="1" applyBorder="1" applyAlignment="1">
      <x:alignment wrapText="1"/>
    </x:xf>
    <x:xf numFmtId="0" fontId="10" fillId="7" borderId="23" xfId="0" applyNumberFormat="1" applyFont="1" applyFill="1" applyBorder="1" applyAlignment="1">
      <x:alignment wrapText="1"/>
    </x:xf>
    <x:xf numFmtId="0" fontId="10" fillId="7" borderId="18" xfId="0" applyNumberFormat="1" applyFont="1" applyFill="1" applyBorder="1" applyAlignment="1">
      <x:alignment vertical="center" wrapText="1"/>
    </x:xf>
    <x:xf numFmtId="0" fontId="10" fillId="7" borderId="19" xfId="0" applyNumberFormat="1" applyFont="1" applyFill="1" applyBorder="1" applyAlignment="1">
      <x:alignment vertical="center" wrapText="1"/>
    </x:xf>
    <x:xf numFmtId="0" fontId="10" fillId="7" borderId="20" xfId="0" applyNumberFormat="1" applyFont="1" applyFill="1" applyBorder="1" applyAlignment="1">
      <x:alignment vertical="center" wrapText="1"/>
    </x:xf>
    <x:xf numFmtId="0" fontId="10" fillId="7" borderId="21" xfId="0" applyNumberFormat="1" applyFont="1" applyFill="1" applyBorder="1" applyAlignment="1">
      <x:alignment vertical="center" wrapText="1"/>
    </x:xf>
    <x:xf numFmtId="0" fontId="10" fillId="7" borderId="22" xfId="0" applyNumberFormat="1" applyFont="1" applyFill="1" applyBorder="1" applyAlignment="1">
      <x:alignment vertical="center" wrapText="1"/>
    </x:xf>
    <x:xf numFmtId="0" fontId="10" fillId="7" borderId="23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horizontal="left"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horizontal="center" vertical="center"/>
    </x:xf>
    <x:xf numFmtId="0" fontId="8" fillId="6" borderId="10" xfId="0" applyNumberFormat="1" applyFont="1" applyFill="1" applyBorder="1" applyAlignment="1">
      <x:alignment vertical="center" wrapText="1"/>
    </x:xf>
    <x:xf numFmtId="0" fontId="8" fillId="6" borderId="11" xfId="0" applyNumberFormat="1" applyFont="1" applyFill="1" applyBorder="1" applyAlignment="1">
      <x:alignment vertical="center" wrapText="1"/>
    </x:xf>
    <x:xf numFmtId="0" fontId="8" fillId="6" borderId="12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horizontal="center" vertical="center"/>
    </x:xf>
    <x:xf numFmtId="0" fontId="8" fillId="6" borderId="13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8" fillId="6" borderId="14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center" vertical="center"/>
    </x:xf>
    <x:xf numFmtId="0" fontId="8" fillId="6" borderId="15" xfId="0" applyNumberFormat="1" applyFont="1" applyFill="1" applyBorder="1" applyAlignment="1">
      <x:alignment vertical="center" wrapText="1"/>
    </x:xf>
    <x:xf numFmtId="0" fontId="8" fillId="6" borderId="16" xfId="0" applyNumberFormat="1" applyFont="1" applyFill="1" applyBorder="1" applyAlignment="1">
      <x:alignment vertical="center" wrapText="1"/>
    </x:xf>
    <x:xf numFmtId="0" fontId="8" fillId="6" borderId="17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vertical="top"/>
    </x:xf>
    <x:xf numFmtId="0" fontId="12" fillId="0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horizontal="center" vertical="top"/>
    </x:xf>
    <x:xf numFmtId="0" fontId="12" fillId="0" borderId="0" xfId="0" applyNumberFormat="1" applyFont="1" applyFill="1" applyBorder="1" applyAlignment="1">
      <x:alignment horizontal="right" vertical="top"/>
    </x:xf>
    <x:xf numFmtId="201" fontId="12" fillId="0" borderId="0" xfId="0" applyNumberFormat="1" applyFont="1" applyFill="1" applyBorder="1" applyAlignment="1">
      <x:alignment horizontal="center" vertical="top"/>
    </x:xf>
    <x:xf numFmtId="0" fontId="6" fillId="8" borderId="24" xfId="0" applyNumberFormat="1" applyFont="1" applyFill="1" applyBorder="1" applyAlignment="1">
      <x:alignment horizontal="center" vertical="center" wrapText="1"/>
    </x:xf>
    <x:xf numFmtId="0" fontId="12" fillId="0" borderId="25" xfId="0" applyNumberFormat="1" applyFont="1" applyFill="1" applyBorder="1" applyAlignment="1">
      <x:alignment horizontal="center" vertical="top"/>
    </x:xf>
    <x:xf numFmtId="0" fontId="12" fillId="0" borderId="25" xfId="0" applyNumberFormat="1" applyFont="1" applyFill="1" applyBorder="1" applyAlignment="1">
      <x:alignment vertical="top" wrapText="1"/>
    </x:xf>
    <x:xf numFmtId="0" fontId="12" fillId="0" borderId="25" xfId="0" applyNumberFormat="1" applyFont="1" applyFill="1" applyBorder="1" applyAlignment="1">
      <x:alignment horizontal="right" vertical="top"/>
    </x:xf>
    <x:xf numFmtId="0" fontId="12" fillId="0" borderId="25" xfId="0" applyNumberFormat="1" applyFont="1" applyFill="1" applyBorder="1" applyAlignment="1">
      <x:alignment vertical="top"/>
    </x:xf>
    <x:xf numFmtId="201" fontId="12" fillId="0" borderId="25" xfId="0" applyNumberFormat="1" applyFont="1" applyFill="1" applyBorder="1" applyAlignment="1">
      <x:alignment horizontal="center" vertical="top"/>
    </x:xf>
    <x:xf numFmtId="0" fontId="12" fillId="0" borderId="26" xfId="0" applyNumberFormat="1" applyFont="1" applyFill="1" applyBorder="1" applyAlignment="1">
      <x:alignment horizontal="center" vertical="top"/>
    </x:xf>
    <x:xf numFmtId="0" fontId="12" fillId="0" borderId="26" xfId="0" applyNumberFormat="1" applyFont="1" applyFill="1" applyBorder="1" applyAlignment="1">
      <x:alignment vertical="top" wrapText="1"/>
    </x:xf>
    <x:xf numFmtId="0" fontId="12" fillId="0" borderId="26" xfId="0" applyNumberFormat="1" applyFont="1" applyFill="1" applyBorder="1" applyAlignment="1">
      <x:alignment horizontal="right" vertical="top"/>
    </x:xf>
    <x:xf numFmtId="0" fontId="12" fillId="0" borderId="26" xfId="0" applyNumberFormat="1" applyFont="1" applyFill="1" applyBorder="1" applyAlignment="1">
      <x:alignment vertical="top"/>
    </x:xf>
    <x:xf numFmtId="201" fontId="12" fillId="0" borderId="26" xfId="0" applyNumberFormat="1" applyFont="1" applyFill="1" applyBorder="1" applyAlignment="1">
      <x:alignment horizontal="center" vertical="top"/>
    </x:xf>
  </x:cellXfs>
  <x:cellStyles count="1">
    <x:cellStyle name="Normal" xfId="0"/>
  </x:cellStyles>
  <x:dxfs count="7">
    <x:dxf>
      <x:font>
        <x:b/>
        <x:color rgb="FF166141"/>
      </x:font>
      <x:fill>
        <x:patternFill patternType="solid">
          <x:bgColor rgb="FFDDF1E7"/>
        </x:patternFill>
      </x:fill>
    </x:dxf>
    <x:dxf>
      <x:font>
        <x:b/>
        <x:color rgb="FF7B5510"/>
      </x:font>
      <x:fill>
        <x:patternFill patternType="solid">
          <x:bgColor rgb="FFFFF0C9"/>
        </x:patternFill>
      </x:fill>
    </x:dxf>
    <x:dxf>
      <x:font>
        <x:b/>
        <x:color rgb="FFB43B30"/>
      </x:font>
      <x:fill>
        <x:patternFill patternType="solid">
          <x:bgColor rgb="FFFBE3E0"/>
        </x:patternFill>
      </x:fill>
    </x:dxf>
    <x:dxf>
      <x:font>
        <x:b/>
        <x:color rgb="FF9B4C00"/>
      </x:font>
      <x:fill>
        <x:patternFill patternType="solid">
          <x:bgColor rgb="FFFFE2C4"/>
        </x:patternFill>
      </x:fill>
    </x:dxf>
    <x:dxf>
      <x:font>
        <x:color rgb="FF7A6010"/>
      </x:font>
      <x:fill>
        <x:patternFill patternType="solid">
          <x:bgColor rgb="FFFFF3C4"/>
        </x:patternFill>
      </x:fill>
    </x:dxf>
    <x:dxf>
      <x:font>
        <x:color rgb="FF246B49"/>
      </x:font>
      <x:fill>
        <x:patternFill patternType="solid">
          <x:bgColor rgb="FFE4F3EA"/>
        </x:patternFill>
      </x:fill>
    </x:dxf>
    <x:dxf>
      <x:font>
        <x:color rgb="FF5D6761"/>
      </x:font>
      <x:fill>
        <x:patternFill patternType="solid">
          <x:bgColor rgb="FFECEF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d842819f2546e1" /><Relationship Type="http://schemas.openxmlformats.org/officeDocument/2006/relationships/theme" Target="/xl/theme/theme1.xml" Id="R18e730a6b4e04b1d" /><Relationship Type="http://schemas.openxmlformats.org/officeDocument/2006/relationships/sharedStrings" Target="/xl/sharedStrings.xml" Id="Rd0a88dca7fa24c9e" /><Relationship Type="http://schemas.openxmlformats.org/officeDocument/2006/relationships/worksheet" Target="/xl/worksheets/sheet1.xml" Id="Re1972cdb195744da" /><Relationship Type="http://schemas.openxmlformats.org/officeDocument/2006/relationships/worksheet" Target="/xl/worksheets/sheet2.xml" Id="Rd38578f8fe2643af" /></Relationships>
</file>

<file path=xl/tables/table1.xml><?xml version="1.0" encoding="utf-8"?>
<x:table xmlns:x="http://schemas.openxmlformats.org/spreadsheetml/2006/main" id="1" name="MedicineInventory" displayName="MedicineInventory" ref="A6:M101" headerRowCount="1" totalsRowCount="0" totalsRowShown="0">
  <x:autoFilter ref="A6:M101"/>
  <x:tableColumns count="13">
    <x:tableColumn id="1" name="№"/>
    <x:tableColumn id="2" name="Название"/>
    <x:tableColumn id="3" name="Дозировка / состав"/>
    <x:tableColumn id="4" name="Форма / описание"/>
    <x:tableColumn id="5" name="Количество"/>
    <x:tableColumn id="6" name="Единица"/>
    <x:tableColumn id="7" name="Срок годности"/>
    <x:tableColumn id="8" name="Точность срока"/>
    <x:tableColumn id="9" name="Место хранения"/>
    <x:tableColumn id="10" name="Исходная запись"/>
    <x:tableColumn id="11" name="Нужна проверка"/>
    <x:tableColumn id="12" name="Статус срока"/>
    <x:tableColumn id="13" name="Комментарий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32af84dd7949c8" /></Relationships>
</file>

<file path=xl/worksheets/sheet1.xml><?xml version="1.0" encoding="utf-8"?>
<x:worksheet xmlns:x="http://schemas.openxmlformats.org/spreadsheetml/2006/main">
  <x:sheetPr>
    <x:tabColor rgb="FF177A55"/>
  </x:sheetPr>
  <x:sheetViews>
    <x:sheetView showGridLines="0" workbookViewId="0"/>
  </x:sheetViews>
  <x:sheetFormatPr defaultRowHeight="15"/>
  <x:cols>
    <x:col min="1" max="1" width="21" hidden="0" customWidth="1"/>
    <x:col min="2" max="2" width="15" hidden="0" customWidth="1"/>
    <x:col min="3" max="3" width="18" hidden="0" customWidth="1"/>
    <x:col min="4" max="4" width="21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81"/>
      <x:c r="B1" s="81"/>
      <x:c r="C1" s="81"/>
      <x:c r="D1" s="81"/>
      <x:c r="E1" s="81"/>
      <x:c r="F1" s="81"/>
      <x:c r="G1" s="81"/>
      <x:c r="H1" s="81"/>
    </x:row>
    <x:row r="2" ht="26" customHeight="1">
      <x:c r="A2" s="82" t="str">
        <x:v>Домашняя аптечка</x:v>
      </x:c>
      <x:c r="B2" s="81"/>
      <x:c r="C2" s="81"/>
      <x:c r="D2" s="81"/>
      <x:c r="E2" s="81"/>
      <x:c r="F2" s="81"/>
      <x:c r="G2" s="81"/>
      <x:c r="H2" s="81"/>
    </x:row>
    <x:row r="3">
      <x:c r="A3" s="83" t="str">
        <x:v>Дата проверки</x:v>
      </x:c>
      <x:c r="B3" s="83" t="str">
        <x:v>2026-10-09</x:v>
      </x:c>
      <x:c r="C3" s="81"/>
      <x:c r="D3" s="81"/>
      <x:c r="E3" s="81"/>
      <x:c r="F3" s="81"/>
      <x:c r="G3" s="81"/>
      <x:c r="H3" s="81"/>
    </x:row>
    <x:row r="4">
      <x:c r="A4" s="81"/>
      <x:c r="B4" s="81"/>
      <x:c r="C4" s="81"/>
      <x:c r="D4" s="81"/>
      <x:c r="E4" s="81"/>
      <x:c r="F4" s="81"/>
      <x:c r="G4" s="81"/>
      <x:c r="H4" s="81"/>
    </x:row>
    <x:row r="5" ht="27" customHeight="1">
      <x:c r="A5" s="13" t="str">
        <x:v>Всего позиций</x:v>
      </x:c>
      <x:c r="B5" s="14" t="str">
        <x:v>Зелёный ящик</x:v>
      </x:c>
      <x:c r="C5" s="14" t="str">
        <x:v>Нижний ящик</x:v>
      </x:c>
      <x:c r="D5" s="15" t="str">
        <x:v>Требуют проверки</x:v>
      </x:c>
      <x:c r="E5" s="81"/>
      <x:c r="F5" s="81"/>
      <x:c r="G5" s="81"/>
      <x:c r="H5" s="81"/>
    </x:row>
    <x:row r="6" ht="27" customHeight="1">
      <x:c r="A6" s="16" t="n">
        <x:f>COUNTA('Лекарства'!A7:A101)</x:f>
        <x:v>95</x:v>
      </x:c>
      <x:c r="B6" s="17" t="n">
        <x:f>COUNTIF('Лекарства'!I7:I101,"Зелёный ящик")</x:f>
        <x:v>34</x:v>
      </x:c>
      <x:c r="C6" s="17" t="n">
        <x:f>COUNTIF('Лекарства'!I7:I101,"Нижний ящик")</x:f>
        <x:v>61</x:v>
      </x:c>
      <x:c r="D6" s="18" t="n">
        <x:f>COUNTIF('Лекарства'!K7:K101,"Да")</x:f>
        <x:v>43</x:v>
      </x:c>
      <x:c r="E6" s="81"/>
      <x:c r="F6" s="81"/>
      <x:c r="G6" s="81"/>
      <x:c r="H6" s="81"/>
    </x:row>
    <x:row r="7">
      <x:c r="A7" s="81"/>
      <x:c r="B7" s="81"/>
      <x:c r="C7" s="81"/>
      <x:c r="D7" s="81"/>
      <x:c r="E7" s="81"/>
      <x:c r="F7" s="81"/>
      <x:c r="G7" s="81"/>
      <x:c r="H7" s="81"/>
    </x:row>
    <x:row r="8">
      <x:c r="A8" s="81"/>
      <x:c r="B8" s="81"/>
      <x:c r="C8" s="81"/>
      <x:c r="D8" s="81"/>
      <x:c r="E8" s="81"/>
      <x:c r="F8" s="81"/>
      <x:c r="G8" s="81"/>
      <x:c r="H8" s="81"/>
    </x:row>
    <x:row r="9">
      <x:c r="A9" s="22" t="str">
        <x:v>Статус срока</x:v>
      </x:c>
      <x:c r="B9" s="22" t="str">
        <x:v>Количество</x:v>
      </x:c>
      <x:c r="C9" s="81"/>
      <x:c r="D9" s="84" t="str">
        <x:v>Правила нормализации</x:v>
      </x:c>
      <x:c r="E9" s="81"/>
      <x:c r="F9" s="81"/>
      <x:c r="G9" s="81"/>
      <x:c r="H9" s="81"/>
    </x:row>
    <x:row r="10" ht="22" customHeight="1">
      <x:c r="A10" s="85" t="str">
        <x:v>Просрочено</x:v>
      </x:c>
      <x:c r="B10" s="86" t="n">
        <x:f>COUNTIF('Лекарства'!L7:L101,A10)</x:f>
        <x:v>0</x:v>
      </x:c>
      <x:c r="C10" s="81"/>
      <x:c r="D10" s="87" t="str">
        <x:v>Даты записаны в формате YYYY-MM-DD. Если в исходнике указан месяц и год, дата записана как последний день месяца. Если указан только год — как 31 декабря, а строка отмечена для проверки. Даты изготовления не перенесены в поле срока годности. Названия, частично перекрытые интерфейсом или похожие на опечатки, также отмечены для проверки по упаковке.</x:v>
      </x:c>
      <x:c r="E10" s="88"/>
      <x:c r="F10" s="88"/>
      <x:c r="G10" s="88"/>
      <x:c r="H10" s="89"/>
    </x:row>
    <x:row r="11" ht="22" customHeight="1">
      <x:c r="A11" s="90" t="str">
        <x:v>До 90 дней</x:v>
      </x:c>
      <x:c r="B11" s="91" t="n">
        <x:f>COUNTIF('Лекарства'!L8:L102,A11)</x:f>
        <x:v>5</x:v>
      </x:c>
      <x:c r="C11" s="81"/>
      <x:c r="D11" s="92"/>
      <x:c r="E11" s="93"/>
      <x:c r="F11" s="93"/>
      <x:c r="G11" s="93"/>
      <x:c r="H11" s="94"/>
    </x:row>
    <x:row r="12" ht="22" customHeight="1">
      <x:c r="A12" s="90" t="str">
        <x:v>До 180 дней</x:v>
      </x:c>
      <x:c r="B12" s="91" t="n">
        <x:f>COUNTIF('Лекарства'!L9:L103,A12)</x:f>
        <x:v>5</x:v>
      </x:c>
      <x:c r="C12" s="81"/>
      <x:c r="D12" s="92"/>
      <x:c r="E12" s="93"/>
      <x:c r="F12" s="93"/>
      <x:c r="G12" s="93"/>
      <x:c r="H12" s="94"/>
    </x:row>
    <x:row r="13" ht="22" customHeight="1">
      <x:c r="A13" s="90" t="str">
        <x:v>Годен</x:v>
      </x:c>
      <x:c r="B13" s="91" t="n">
        <x:f>COUNTIF('Лекарства'!L10:L104,A13)</x:f>
        <x:v>64</x:v>
      </x:c>
      <x:c r="C13" s="81"/>
      <x:c r="D13" s="92"/>
      <x:c r="E13" s="93"/>
      <x:c r="F13" s="93"/>
      <x:c r="G13" s="93"/>
      <x:c r="H13" s="94"/>
    </x:row>
    <x:row r="14" ht="22" customHeight="1">
      <x:c r="A14" s="95" t="str">
        <x:v>Не указан</x:v>
      </x:c>
      <x:c r="B14" s="96" t="n">
        <x:f>COUNTIF('Лекарства'!L11:L105,A14)</x:f>
        <x:v>18</x:v>
      </x:c>
      <x:c r="C14" s="81"/>
      <x:c r="D14" s="92"/>
      <x:c r="E14" s="93"/>
      <x:c r="F14" s="93"/>
      <x:c r="G14" s="93"/>
      <x:c r="H14" s="94"/>
    </x:row>
    <x:row r="15" ht="22" customHeight="1">
      <x:c r="A15" s="81"/>
      <x:c r="B15" s="81"/>
      <x:c r="C15" s="81"/>
      <x:c r="D15" s="97"/>
      <x:c r="E15" s="98"/>
      <x:c r="F15" s="98"/>
      <x:c r="G15" s="98"/>
      <x:c r="H15" s="99"/>
    </x:row>
    <x:row r="16">
      <x:c r="A16" s="81"/>
      <x:c r="B16" s="81"/>
      <x:c r="C16" s="81"/>
      <x:c r="D16" s="81"/>
      <x:c r="E16" s="81"/>
      <x:c r="F16" s="81"/>
      <x:c r="G16" s="81"/>
      <x:c r="H16" s="81"/>
    </x:row>
    <x:row r="17">
      <x:c r="A17" s="81"/>
      <x:c r="B17" s="81"/>
      <x:c r="C17" s="81"/>
      <x:c r="D17" s="81"/>
      <x:c r="E17" s="81"/>
      <x:c r="F17" s="81"/>
      <x:c r="G17" s="81"/>
      <x:c r="H17" s="81"/>
    </x:row>
    <x:row r="18">
      <x:c r="A18" s="100" t="str">
        <x:v>Источник: пользовательский список на скриншотах IMG_9576.png — IMG_9581.png</x:v>
      </x:c>
      <x:c r="B18" s="81"/>
      <x:c r="C18" s="81"/>
      <x:c r="D18" s="81"/>
      <x:c r="E18" s="81"/>
      <x:c r="F18" s="81"/>
      <x:c r="G18" s="81"/>
      <x:c r="H18" s="81"/>
    </x:row>
    <x:row r="19">
      <x:c r="A19" s="81"/>
      <x:c r="B19" s="81"/>
      <x:c r="C19" s="81"/>
      <x:c r="D19" s="81"/>
      <x:c r="E19" s="81"/>
      <x:c r="F19" s="81"/>
      <x:c r="G19" s="81"/>
      <x:c r="H19" s="81"/>
    </x:row>
    <x:row r="20" ht="25" customHeight="1">
      <x:c r="A20" s="75" t="str">
        <x:v>Перед загрузкой в приложение проверьте строки с пометкой «Да» в колонке «Нужна проверка», особенно названия и сроки у блистеров без упаковки.</x:v>
      </x:c>
      <x:c r="B20" s="76"/>
      <x:c r="C20" s="76"/>
      <x:c r="D20" s="76"/>
      <x:c r="E20" s="76"/>
      <x:c r="F20" s="76"/>
      <x:c r="G20" s="76"/>
      <x:c r="H20" s="77"/>
    </x:row>
    <x:row r="21" ht="25" customHeight="1">
      <x:c r="A21" s="78"/>
      <x:c r="B21" s="79"/>
      <x:c r="C21" s="79"/>
      <x:c r="D21" s="79"/>
      <x:c r="E21" s="79"/>
      <x:c r="F21" s="79"/>
      <x:c r="G21" s="79"/>
      <x:c r="H21" s="80"/>
    </x:row>
    <x:row r="22">
      <x:c r="A22" s="81"/>
      <x:c r="B22" s="81"/>
      <x:c r="C22" s="81"/>
      <x:c r="D22" s="81"/>
      <x:c r="E22" s="81"/>
      <x:c r="F22" s="81"/>
      <x:c r="G22" s="81"/>
      <x:c r="H22" s="81"/>
    </x:row>
  </x:sheetData>
  <x:mergeCells>
    <x:mergeCell ref="A2:H2"/>
    <x:mergeCell ref="D9:H9"/>
    <x:mergeCell ref="D10:H15"/>
    <x:mergeCell ref="A18:H18"/>
    <x:mergeCell ref="A20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4A98A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27" hidden="0" customWidth="1"/>
    <x:col min="5" max="5" width="12" hidden="0" customWidth="1"/>
    <x:col min="6" max="6" width="12" hidden="0" customWidth="1"/>
    <x:col min="7" max="7" width="15" hidden="0" customWidth="1"/>
    <x:col min="8" max="8" width="16" hidden="0" customWidth="1"/>
    <x:col min="9" max="9" width="17" hidden="0" customWidth="1"/>
    <x:col min="10" max="10" width="42" hidden="0" customWidth="1"/>
    <x:col min="11" max="11" width="16" hidden="0" customWidth="1"/>
    <x:col min="12" max="12" width="16" hidden="0" customWidth="1"/>
    <x:col min="13" max="13" width="38" hidden="0" customWidth="1"/>
  </x:cols>
  <x:sheetData>
    <x:row r="1" ht="27" customHeight="1">
      <x:c r="A1" s="2" t="str">
        <x:v>Реестр домашней аптечки</x:v>
      </x:c>
    </x:row>
    <x:row r="2" ht="20" customHeight="1">
      <x:c r="A2" s="101" t="str">
        <x:v>Место хранения определено по правилу: отметка «Зелёный ящик» в исходнике — зелёный ящик, остальные позиции — нижний ящик.</x:v>
      </x:c>
    </x:row>
    <x:row r="6" ht="34" customHeight="1">
      <x:c r="A6" s="113" t="str">
        <x:v>№</x:v>
      </x:c>
      <x:c r="B6" s="113" t="str">
        <x:v>Название</x:v>
      </x:c>
      <x:c r="C6" s="113" t="str">
        <x:v>Дозировка / состав</x:v>
      </x:c>
      <x:c r="D6" s="113" t="str">
        <x:v>Форма / описание</x:v>
      </x:c>
      <x:c r="E6" s="113" t="str">
        <x:v>Количество</x:v>
      </x:c>
      <x:c r="F6" s="113" t="str">
        <x:v>Единица</x:v>
      </x:c>
      <x:c r="G6" s="113" t="str">
        <x:v>Срок годности</x:v>
      </x:c>
      <x:c r="H6" s="113" t="str">
        <x:v>Точность срока</x:v>
      </x:c>
      <x:c r="I6" s="113" t="str">
        <x:v>Место хранения</x:v>
      </x:c>
      <x:c r="J6" s="113" t="str">
        <x:v>Исходная запись</x:v>
      </x:c>
      <x:c r="K6" s="113" t="str">
        <x:v>Нужна проверка</x:v>
      </x:c>
      <x:c r="L6" s="113" t="str">
        <x:v>Статус срока</x:v>
      </x:c>
      <x:c r="M6" s="113" t="str">
        <x:v>Комментарий</x:v>
      </x:c>
    </x:row>
    <x:row r="7" ht="42" customHeight="1">
      <x:c r="A7" s="114" t="n">
        <x:v>1</x:v>
      </x:c>
      <x:c r="B7" s="115" t="str">
        <x:v>Парацетамол</x:v>
      </x:c>
      <x:c r="C7" s="115" t="str"/>
      <x:c r="D7" s="115" t="str">
        <x:v>таблетки</x:v>
      </x:c>
      <x:c r="E7" s="116" t="n">
        <x:v>1</x:v>
      </x:c>
      <x:c r="F7" s="117" t="str">
        <x:v>упаковка</x:v>
      </x:c>
      <x:c r="G7" s="118" t="str">
        <x:v>2029-03-31</x:v>
      </x:c>
      <x:c r="H7" s="114" t="str">
        <x:v>месяц</x:v>
      </x:c>
      <x:c r="I7" s="114" t="str">
        <x:v>Нижний ящик</x:v>
      </x:c>
      <x:c r="J7" s="115" t="str">
        <x:v>Парацетамол до 03.2029</x:v>
      </x:c>
      <x:c r="K7" s="114" t="str">
        <x:v>Нет</x:v>
      </x:c>
      <x:c r="L7" s="114" t="str">
        <x:v>Годен</x:v>
      </x:c>
      <x:c r="M7" s="115" t="str"/>
    </x:row>
    <x:row r="8" ht="42" customHeight="1">
      <x:c r="A8" s="114" t="n">
        <x:v>2</x:v>
      </x:c>
      <x:c r="B8" s="115" t="str">
        <x:v>Уринаплин Ф</x:v>
      </x:c>
      <x:c r="C8" s="115" t="str">
        <x:v>100 мг</x:v>
      </x:c>
      <x:c r="D8" s="115" t="str">
        <x:v>таблетки</x:v>
      </x:c>
      <x:c r="E8" s="116" t="n">
        <x:v>1</x:v>
      </x:c>
      <x:c r="F8" s="117" t="str">
        <x:v>упаковка</x:v>
      </x:c>
      <x:c r="G8" s="118" t="str">
        <x:v>2030-09-30</x:v>
      </x:c>
      <x:c r="H8" s="114" t="str">
        <x:v>месяц</x:v>
      </x:c>
      <x:c r="I8" s="114" t="str">
        <x:v>Зелёный ящик</x:v>
      </x:c>
      <x:c r="J8" s="115" t="str">
        <x:v>Уринаплин Ф 100 мг до 09.2030. Зелёный ящик</x:v>
      </x:c>
      <x:c r="K8" s="114" t="str">
        <x:v>Да</x:v>
      </x:c>
      <x:c r="L8" s="114" t="str">
        <x:v>Годен</x:v>
      </x:c>
      <x:c r="M8" s="115" t="str">
        <x:v>Название следует сверить с упаковкой</x:v>
      </x:c>
    </x:row>
    <x:row r="9" ht="42" customHeight="1">
      <x:c r="A9" s="114" t="n">
        <x:v>3</x:v>
      </x:c>
      <x:c r="B9" s="115" t="str">
        <x:v>ФармаЦвет грудной сбор №4</x:v>
      </x:c>
      <x:c r="C9" s="115" t="str"/>
      <x:c r="D9" s="115" t="str">
        <x:v>растительный сбор</x:v>
      </x:c>
      <x:c r="E9" s="116" t="n">
        <x:v>2</x:v>
      </x:c>
      <x:c r="F9" s="117" t="str">
        <x:v>упаковка</x:v>
      </x:c>
      <x:c r="G9" s="118" t="str">
        <x:v>2027-10-31</x:v>
      </x:c>
      <x:c r="H9" s="114" t="str">
        <x:v>месяц</x:v>
      </x:c>
      <x:c r="I9" s="114" t="str">
        <x:v>Зелёный ящик</x:v>
      </x:c>
      <x:c r="J9" s="115" t="str">
        <x:v>ФармаЦвет грудной сбор №4 до 10.2027 (2 пачки). Зелёный ящик</x:v>
      </x:c>
      <x:c r="K9" s="114" t="str">
        <x:v>Нет</x:v>
      </x:c>
      <x:c r="L9" s="114" t="str">
        <x:v>Годен</x:v>
      </x:c>
      <x:c r="M9" s="115" t="str"/>
    </x:row>
    <x:row r="10" ht="42" customHeight="1">
      <x:c r="A10" s="114" t="n">
        <x:v>4</x:v>
      </x:c>
      <x:c r="B10" s="115" t="str">
        <x:v>Фурацилин</x:v>
      </x:c>
      <x:c r="C10" s="115" t="str"/>
      <x:c r="D10" s="115" t="str">
        <x:v>таблетки</x:v>
      </x:c>
      <x:c r="E10" s="116" t="n">
        <x:v>1</x:v>
      </x:c>
      <x:c r="F10" s="117" t="str">
        <x:v>упаковка</x:v>
      </x:c>
      <x:c r="G10" s="118" t="str">
        <x:v>2027-07-31</x:v>
      </x:c>
      <x:c r="H10" s="114" t="str">
        <x:v>месяц</x:v>
      </x:c>
      <x:c r="I10" s="114" t="str">
        <x:v>Зелёный ящик</x:v>
      </x:c>
      <x:c r="J10" s="115" t="str">
        <x:v>Фурацилин до 07.2027. Зелёный ящик</x:v>
      </x:c>
      <x:c r="K10" s="114" t="str">
        <x:v>Нет</x:v>
      </x:c>
      <x:c r="L10" s="114" t="str">
        <x:v>Годен</x:v>
      </x:c>
      <x:c r="M10" s="115" t="str"/>
    </x:row>
    <x:row r="11" ht="42" customHeight="1">
      <x:c r="A11" s="114" t="n">
        <x:v>5</x:v>
      </x:c>
      <x:c r="B11" s="115" t="str">
        <x:v>Спрей от горла «Эвкалипт»</x:v>
      </x:c>
      <x:c r="C11" s="115" t="str"/>
      <x:c r="D11" s="115" t="str">
        <x:v>спрей</x:v>
      </x:c>
      <x:c r="E11" s="116" t="n">
        <x:v>1</x:v>
      </x:c>
      <x:c r="F11" s="117" t="str">
        <x:v>флакон</x:v>
      </x:c>
      <x:c r="G11" s="118" t="str">
        <x:v>2027-12-31</x:v>
      </x:c>
      <x:c r="H11" s="114" t="str">
        <x:v>месяц</x:v>
      </x:c>
      <x:c r="I11" s="114" t="str">
        <x:v>Нижний ящик</x:v>
      </x:c>
      <x:c r="J11" s="115" t="str">
        <x:v>Спрей от горла эвкалипт до 12.2027</x:v>
      </x:c>
      <x:c r="K11" s="114" t="str">
        <x:v>Нет</x:v>
      </x:c>
      <x:c r="L11" s="114" t="str">
        <x:v>Годен</x:v>
      </x:c>
      <x:c r="M11" s="115" t="str"/>
    </x:row>
    <x:row r="12" ht="42" customHeight="1">
      <x:c r="A12" s="114" t="n">
        <x:v>6</x:v>
      </x:c>
      <x:c r="B12" s="115" t="str">
        <x:v>Аэртал</x:v>
      </x:c>
      <x:c r="C12" s="115" t="str"/>
      <x:c r="D12" s="115" t="str">
        <x:v>таблетки</x:v>
      </x:c>
      <x:c r="E12" s="116" t="n">
        <x:v>1</x:v>
      </x:c>
      <x:c r="F12" s="117" t="str">
        <x:v>упаковка</x:v>
      </x:c>
      <x:c r="G12" s="118" t="str">
        <x:v>2027-06-30</x:v>
      </x:c>
      <x:c r="H12" s="114" t="str">
        <x:v>месяц</x:v>
      </x:c>
      <x:c r="I12" s="114" t="str">
        <x:v>Зелёный ящик</x:v>
      </x:c>
      <x:c r="J12" s="115" t="str">
        <x:v>Аэртал до 06.2027. Зелёный ящик</x:v>
      </x:c>
      <x:c r="K12" s="114" t="str">
        <x:v>Нет</x:v>
      </x:c>
      <x:c r="L12" s="114" t="str">
        <x:v>Годен</x:v>
      </x:c>
      <x:c r="M12" s="115" t="str"/>
    </x:row>
    <x:row r="13" ht="42" customHeight="1">
      <x:c r="A13" s="114" t="n">
        <x:v>7</x:v>
      </x:c>
      <x:c r="B13" s="115" t="str">
        <x:v>Моксонидин</x:v>
      </x:c>
      <x:c r="C13" s="115" t="str">
        <x:v>0,4 мг</x:v>
      </x:c>
      <x:c r="D13" s="115" t="str">
        <x:v>таблетки</x:v>
      </x:c>
      <x:c r="E13" s="116" t="n">
        <x:v>1</x:v>
      </x:c>
      <x:c r="F13" s="117" t="str">
        <x:v>упаковка</x:v>
      </x:c>
      <x:c r="G13" s="118" t="str">
        <x:v>2028-04-30</x:v>
      </x:c>
      <x:c r="H13" s="114" t="str">
        <x:v>месяц</x:v>
      </x:c>
      <x:c r="I13" s="114" t="str">
        <x:v>Нижний ящик</x:v>
      </x:c>
      <x:c r="J13" s="115" t="str">
        <x:v>Моксонидин 0,4 мг до 04.2028</x:v>
      </x:c>
      <x:c r="K13" s="114" t="str">
        <x:v>Нет</x:v>
      </x:c>
      <x:c r="L13" s="114" t="str">
        <x:v>Годен</x:v>
      </x:c>
      <x:c r="M13" s="115" t="str"/>
    </x:row>
    <x:row r="14" ht="42" customHeight="1">
      <x:c r="A14" s="114" t="n">
        <x:v>8</x:v>
      </x:c>
      <x:c r="B14" s="115" t="str">
        <x:v>Римантадин Актитаб</x:v>
      </x:c>
      <x:c r="C14" s="115" t="str"/>
      <x:c r="D14" s="115" t="str">
        <x:v>таблетки</x:v>
      </x:c>
      <x:c r="E14" s="116" t="n">
        <x:v>1</x:v>
      </x:c>
      <x:c r="F14" s="117" t="str">
        <x:v>упаковка</x:v>
      </x:c>
      <x:c r="G14" s="118" t="str">
        <x:v>2029-12-31</x:v>
      </x:c>
      <x:c r="H14" s="114" t="str">
        <x:v>месяц</x:v>
      </x:c>
      <x:c r="I14" s="114" t="str">
        <x:v>Зелёный ящик</x:v>
      </x:c>
      <x:c r="J14" s="115" t="str">
        <x:v>Римантадин Актитаб до 12.2029. Зелёный ящик</x:v>
      </x:c>
      <x:c r="K14" s="114" t="str">
        <x:v>Нет</x:v>
      </x:c>
      <x:c r="L14" s="114" t="str">
        <x:v>Годен</x:v>
      </x:c>
      <x:c r="M14" s="115" t="str"/>
    </x:row>
    <x:row r="15" ht="42" customHeight="1">
      <x:c r="A15" s="114" t="n">
        <x:v>9</x:v>
      </x:c>
      <x:c r="B15" s="115" t="str">
        <x:v>Адаксинт</x:v>
      </x:c>
      <x:c r="C15" s="115" t="str"/>
      <x:c r="D15" s="115" t="str">
        <x:v>суспензия</x:v>
      </x:c>
      <x:c r="E15" s="116" t="n">
        <x:v>1</x:v>
      </x:c>
      <x:c r="F15" s="117" t="str">
        <x:v>флакон</x:v>
      </x:c>
      <x:c r="G15" s="118" t="str">
        <x:v>2027-12-31</x:v>
      </x:c>
      <x:c r="H15" s="114" t="str">
        <x:v>год</x:v>
      </x:c>
      <x:c r="I15" s="114" t="str">
        <x:v>Нижний ящик</x:v>
      </x:c>
      <x:c r="J15" s="115" t="str">
        <x:v>Адаксинт суспензия до 2027</x:v>
      </x:c>
      <x:c r="K15" s="114" t="str">
        <x:v>Да</x:v>
      </x:c>
      <x:c r="L15" s="114" t="str">
        <x:v>Годен</x:v>
      </x:c>
      <x:c r="M15" s="115" t="str">
        <x:v>Название и точный месяц следует сверить с упаковкой</x:v>
      </x:c>
    </x:row>
    <x:row r="16" ht="42" customHeight="1">
      <x:c r="A16" s="114" t="n">
        <x:v>10</x:v>
      </x:c>
      <x:c r="B16" s="115" t="str">
        <x:v>Экофурил</x:v>
      </x:c>
      <x:c r="C16" s="115" t="str">
        <x:v>200 мг; нифуроксазид</x:v>
      </x:c>
      <x:c r="D16" s="115" t="str">
        <x:v>капсулы</x:v>
      </x:c>
      <x:c r="E16" s="116" t="n">
        <x:v>16</x:v>
      </x:c>
      <x:c r="F16" s="117" t="str">
        <x:v>капсула</x:v>
      </x:c>
      <x:c r="G16" s="118" t="str">
        <x:v>2027-06-30</x:v>
      </x:c>
      <x:c r="H16" s="114" t="str">
        <x:v>месяц</x:v>
      </x:c>
      <x:c r="I16" s="114" t="str">
        <x:v>Нижний ящик</x:v>
      </x:c>
      <x:c r="J16" s="115" t="str">
        <x:v>Экофурил 200 мг, нифуроксазид, 16 капсул, до 06.2027</x:v>
      </x:c>
      <x:c r="K16" s="114" t="str">
        <x:v>Нет</x:v>
      </x:c>
      <x:c r="L16" s="114" t="str">
        <x:v>Годен</x:v>
      </x:c>
      <x:c r="M16" s="115" t="str"/>
    </x:row>
    <x:row r="17" ht="42" customHeight="1">
      <x:c r="A17" s="114" t="n">
        <x:v>11</x:v>
      </x:c>
      <x:c r="B17" s="115" t="str">
        <x:v>Жанин</x:v>
      </x:c>
      <x:c r="C17" s="115" t="str"/>
      <x:c r="D17" s="115" t="str">
        <x:v>таблетки</x:v>
      </x:c>
      <x:c r="E17" s="116" t="n">
        <x:v>1</x:v>
      </x:c>
      <x:c r="F17" s="117" t="str">
        <x:v>упаковка</x:v>
      </x:c>
      <x:c r="G17" s="118" t="str">
        <x:v>2028-12-31</x:v>
      </x:c>
      <x:c r="H17" s="114" t="str">
        <x:v>год</x:v>
      </x:c>
      <x:c r="I17" s="114" t="str">
        <x:v>Нижний ящик</x:v>
      </x:c>
      <x:c r="J17" s="115" t="str">
        <x:v>Жанин до 2028</x:v>
      </x:c>
      <x:c r="K17" s="114" t="str">
        <x:v>Да</x:v>
      </x:c>
      <x:c r="L17" s="114" t="str">
        <x:v>Годен</x:v>
      </x:c>
      <x:c r="M17" s="115" t="str">
        <x:v>Указан только год</x:v>
      </x:c>
    </x:row>
    <x:row r="18" ht="42" customHeight="1">
      <x:c r="A18" s="114" t="n">
        <x:v>12</x:v>
      </x:c>
      <x:c r="B18" s="115" t="str">
        <x:v>Джосет</x:v>
      </x:c>
      <x:c r="C18" s="115" t="str"/>
      <x:c r="D18" s="115" t="str">
        <x:v>сироп</x:v>
      </x:c>
      <x:c r="E18" s="116" t="n">
        <x:v>1</x:v>
      </x:c>
      <x:c r="F18" s="117" t="str">
        <x:v>флакон</x:v>
      </x:c>
      <x:c r="G18" s="118" t="str">
        <x:v>2027-06-30</x:v>
      </x:c>
      <x:c r="H18" s="114" t="str">
        <x:v>месяц</x:v>
      </x:c>
      <x:c r="I18" s="114" t="str">
        <x:v>Нижний ящик</x:v>
      </x:c>
      <x:c r="J18" s="115" t="str">
        <x:v>Джосет до 06.2027</x:v>
      </x:c>
      <x:c r="K18" s="114" t="str">
        <x:v>Нет</x:v>
      </x:c>
      <x:c r="L18" s="114" t="str">
        <x:v>Годен</x:v>
      </x:c>
      <x:c r="M18" s="115" t="str"/>
    </x:row>
    <x:row r="19" ht="42" customHeight="1">
      <x:c r="A19" s="114" t="n">
        <x:v>13</x:v>
      </x:c>
      <x:c r="B19" s="115" t="str">
        <x:v>Supeafen</x:v>
      </x:c>
      <x:c r="C19" s="115" t="str">
        <x:v>400 mg</x:v>
      </x:c>
      <x:c r="D19" s="115" t="str">
        <x:v>film tablet</x:v>
      </x:c>
      <x:c r="E19" s="116" t="n">
        <x:v>1</x:v>
      </x:c>
      <x:c r="F19" s="117" t="str">
        <x:v>упаковка</x:v>
      </x:c>
      <x:c r="G19" s="118" t="str">
        <x:v>2031-01-31</x:v>
      </x:c>
      <x:c r="H19" s="114" t="str">
        <x:v>месяц</x:v>
      </x:c>
      <x:c r="I19" s="114" t="str">
        <x:v>Зелёный ящик</x:v>
      </x:c>
      <x:c r="J19" s="115" t="str">
        <x:v>Supeafen 400 mg film tablet до 01.2031. Зелёный ящик</x:v>
      </x:c>
      <x:c r="K19" s="114" t="str">
        <x:v>Да</x:v>
      </x:c>
      <x:c r="L19" s="114" t="str">
        <x:v>Годен</x:v>
      </x:c>
      <x:c r="M19" s="115" t="str">
        <x:v>Название следует сверить с упаковкой</x:v>
      </x:c>
    </x:row>
    <x:row r="20" ht="42" customHeight="1">
      <x:c r="A20" s="114" t="n">
        <x:v>14</x:v>
      </x:c>
      <x:c r="B20" s="115" t="str">
        <x:v>Красавки экстракт</x:v>
      </x:c>
      <x:c r="C20" s="115" t="str"/>
      <x:c r="D20" s="115" t="str">
        <x:v>таблетки</x:v>
      </x:c>
      <x:c r="E20" s="116" t="n">
        <x:v>1</x:v>
      </x:c>
      <x:c r="F20" s="117" t="str">
        <x:v>упаковка</x:v>
      </x:c>
      <x:c r="G20" s="118" t="str">
        <x:v>2027-09-30</x:v>
      </x:c>
      <x:c r="H20" s="114" t="str">
        <x:v>месяц</x:v>
      </x:c>
      <x:c r="I20" s="114" t="str">
        <x:v>Зелёный ящик</x:v>
      </x:c>
      <x:c r="J20" s="115" t="str">
        <x:v>Красавки экстракт до 09.2027. Зелёный ящик</x:v>
      </x:c>
      <x:c r="K20" s="114" t="str">
        <x:v>Нет</x:v>
      </x:c>
      <x:c r="L20" s="114" t="str">
        <x:v>Годен</x:v>
      </x:c>
      <x:c r="M20" s="115" t="str"/>
    </x:row>
    <x:row r="21" ht="42" customHeight="1">
      <x:c r="A21" s="114" t="n">
        <x:v>15</x:v>
      </x:c>
      <x:c r="B21" s="115" t="str">
        <x:v>StarMed Masaj kremi</x:v>
      </x:c>
      <x:c r="C21" s="115" t="str"/>
      <x:c r="D21" s="115" t="str">
        <x:v>массажный крем</x:v>
      </x:c>
      <x:c r="E21" s="116" t="n">
        <x:v>1</x:v>
      </x:c>
      <x:c r="F21" s="117" t="str">
        <x:v>тюбик</x:v>
      </x:c>
      <x:c r="G21" s="118" t="str"/>
      <x:c r="H21" s="114" t="str">
        <x:v>не указан</x:v>
      </x:c>
      <x:c r="I21" s="114" t="str">
        <x:v>Нижний ящик</x:v>
      </x:c>
      <x:c r="J21" s="115" t="str">
        <x:v>StarMed Masaj kremi без даты годности</x:v>
      </x:c>
      <x:c r="K21" s="114" t="str">
        <x:v>Да</x:v>
      </x:c>
      <x:c r="L21" s="114" t="str">
        <x:v>Не указан</x:v>
      </x:c>
      <x:c r="M21" s="115" t="str">
        <x:v>Срок годности не указан</x:v>
      </x:c>
    </x:row>
    <x:row r="22" ht="42" customHeight="1">
      <x:c r="A22" s="114" t="n">
        <x:v>16</x:v>
      </x:c>
      <x:c r="B22" s="115" t="str">
        <x:v>Лоротокс</x:v>
      </x:c>
      <x:c r="C22" s="115" t="str"/>
      <x:c r="D22" s="115" t="str">
        <x:v>капли</x:v>
      </x:c>
      <x:c r="E22" s="116" t="n">
        <x:v>1</x:v>
      </x:c>
      <x:c r="F22" s="117" t="str">
        <x:v>флакон</x:v>
      </x:c>
      <x:c r="G22" s="118" t="str">
        <x:v>2027-11-30</x:v>
      </x:c>
      <x:c r="H22" s="114" t="str">
        <x:v>месяц</x:v>
      </x:c>
      <x:c r="I22" s="114" t="str">
        <x:v>Нижний ящик</x:v>
      </x:c>
      <x:c r="J22" s="115" t="str">
        <x:v>Лоротокс капли до 11.2027</x:v>
      </x:c>
      <x:c r="K22" s="114" t="str">
        <x:v>Нет</x:v>
      </x:c>
      <x:c r="L22" s="114" t="str">
        <x:v>Годен</x:v>
      </x:c>
      <x:c r="M22" s="115" t="str"/>
    </x:row>
    <x:row r="23" ht="42" customHeight="1">
      <x:c r="A23" s="114" t="n">
        <x:v>17</x:v>
      </x:c>
      <x:c r="B23" s="115" t="str">
        <x:v>Фурацилин</x:v>
      </x:c>
      <x:c r="C23" s="115" t="str"/>
      <x:c r="D23" s="115" t="str">
        <x:v>таблетки</x:v>
      </x:c>
      <x:c r="E23" s="116" t="n">
        <x:v>1</x:v>
      </x:c>
      <x:c r="F23" s="117" t="str">
        <x:v>упаковка</x:v>
      </x:c>
      <x:c r="G23" s="118" t="str">
        <x:v>2027-09-30</x:v>
      </x:c>
      <x:c r="H23" s="114" t="str">
        <x:v>месяц</x:v>
      </x:c>
      <x:c r="I23" s="114" t="str">
        <x:v>Нижний ящик</x:v>
      </x:c>
      <x:c r="J23" s="115" t="str">
        <x:v>Фурацилин до 09.2027</x:v>
      </x:c>
      <x:c r="K23" s="114" t="str">
        <x:v>Нет</x:v>
      </x:c>
      <x:c r="L23" s="114" t="str">
        <x:v>Годен</x:v>
      </x:c>
      <x:c r="M23" s="115" t="str"/>
    </x:row>
    <x:row r="24" ht="42" customHeight="1">
      <x:c r="A24" s="114" t="n">
        <x:v>18</x:v>
      </x:c>
      <x:c r="B24" s="115" t="str">
        <x:v>Цитрамон П</x:v>
      </x:c>
      <x:c r="C24" s="115" t="str"/>
      <x:c r="D24" s="115" t="str">
        <x:v>таблетки</x:v>
      </x:c>
      <x:c r="E24" s="116" t="n">
        <x:v>1</x:v>
      </x:c>
      <x:c r="F24" s="117" t="str">
        <x:v>упаковка</x:v>
      </x:c>
      <x:c r="G24" s="118" t="str">
        <x:v>2029-05-31</x:v>
      </x:c>
      <x:c r="H24" s="114" t="str">
        <x:v>месяц</x:v>
      </x:c>
      <x:c r="I24" s="114" t="str">
        <x:v>Зелёный ящик</x:v>
      </x:c>
      <x:c r="J24" s="115" t="str">
        <x:v>Цитрамон П до 05.2029. Зелёный ящик</x:v>
      </x:c>
      <x:c r="K24" s="114" t="str">
        <x:v>Нет</x:v>
      </x:c>
      <x:c r="L24" s="114" t="str">
        <x:v>Годен</x:v>
      </x:c>
      <x:c r="M24" s="115" t="str"/>
    </x:row>
    <x:row r="25" ht="42" customHeight="1">
      <x:c r="A25" s="114" t="n">
        <x:v>19</x:v>
      </x:c>
      <x:c r="B25" s="115" t="str">
        <x:v>Моксонидин-Алси</x:v>
      </x:c>
      <x:c r="C25" s="115" t="str">
        <x:v>0,2 мг</x:v>
      </x:c>
      <x:c r="D25" s="115" t="str">
        <x:v>таблетки</x:v>
      </x:c>
      <x:c r="E25" s="116" t="n">
        <x:v>1</x:v>
      </x:c>
      <x:c r="F25" s="117" t="str">
        <x:v>упаковка</x:v>
      </x:c>
      <x:c r="G25" s="118" t="str">
        <x:v>2031-01-31</x:v>
      </x:c>
      <x:c r="H25" s="114" t="str">
        <x:v>месяц</x:v>
      </x:c>
      <x:c r="I25" s="114" t="str">
        <x:v>Зелёный ящик</x:v>
      </x:c>
      <x:c r="J25" s="115" t="str">
        <x:v>Моксонидин-Алси 0,2 мг до 01.2031. Зелёный ящик</x:v>
      </x:c>
      <x:c r="K25" s="114" t="str">
        <x:v>Да</x:v>
      </x:c>
      <x:c r="L25" s="114" t="str">
        <x:v>Годен</x:v>
      </x:c>
      <x:c r="M25" s="115" t="str">
        <x:v>Строка частично перекрыта на скриншоте; сверить с упаковкой</x:v>
      </x:c>
    </x:row>
    <x:row r="26" ht="42" customHeight="1">
      <x:c r="A26" s="114" t="n">
        <x:v>20</x:v>
      </x:c>
      <x:c r="B26" s="115" t="str">
        <x:v>Бадяга</x:v>
      </x:c>
      <x:c r="C26" s="115" t="str"/>
      <x:c r="D26" s="115" t="str">
        <x:v>охлаждающий гель</x:v>
      </x:c>
      <x:c r="E26" s="116" t="n">
        <x:v>1</x:v>
      </x:c>
      <x:c r="F26" s="117" t="str">
        <x:v>тюбик</x:v>
      </x:c>
      <x:c r="G26" s="118" t="str"/>
      <x:c r="H26" s="114" t="str">
        <x:v>дата изготовления</x:v>
      </x:c>
      <x:c r="I26" s="114" t="str">
        <x:v>Зелёный ящик</x:v>
      </x:c>
      <x:c r="J26" s="115" t="str">
        <x:v>Бадяга, гель охлаждающий, дата изготовления 02.2024. Зелёный ящик</x:v>
      </x:c>
      <x:c r="K26" s="114" t="str">
        <x:v>Да</x:v>
      </x:c>
      <x:c r="L26" s="114" t="str">
        <x:v>Не указан</x:v>
      </x:c>
      <x:c r="M26" s="115" t="str">
        <x:v>В исходнике указана дата изготовления, а не срок годности</x:v>
      </x:c>
    </x:row>
    <x:row r="27" ht="42" customHeight="1">
      <x:c r="A27" s="114" t="n">
        <x:v>21</x:v>
      </x:c>
      <x:c r="B27" s="115" t="str">
        <x:v>Унипласт</x:v>
      </x:c>
      <x:c r="C27" s="115" t="str"/>
      <x:c r="D27" s="115" t="str">
        <x:v>бактерицидный водоотталкивающий пластырь</x:v>
      </x:c>
      <x:c r="E27" s="116" t="n">
        <x:v>1</x:v>
      </x:c>
      <x:c r="F27" s="117" t="str">
        <x:v>упаковка</x:v>
      </x:c>
      <x:c r="G27" s="118" t="str">
        <x:v>2028-03-31</x:v>
      </x:c>
      <x:c r="H27" s="114" t="str">
        <x:v>месяц</x:v>
      </x:c>
      <x:c r="I27" s="114" t="str">
        <x:v>Нижний ящик</x:v>
      </x:c>
      <x:c r="J27" s="115" t="str">
        <x:v>Унипласт бактерицидный водоотталкивающий до 03.2028</x:v>
      </x:c>
      <x:c r="K27" s="114" t="str">
        <x:v>Нет</x:v>
      </x:c>
      <x:c r="L27" s="114" t="str">
        <x:v>Годен</x:v>
      </x:c>
      <x:c r="M27" s="115" t="str"/>
    </x:row>
    <x:row r="28" ht="42" customHeight="1">
      <x:c r="A28" s="114" t="n">
        <x:v>22</x:v>
      </x:c>
      <x:c r="B28" s="115" t="str">
        <x:v>Конкор Кор</x:v>
      </x:c>
      <x:c r="C28" s="115" t="str">
        <x:v>2,5 мг; бисопролол</x:v>
      </x:c>
      <x:c r="D28" s="115" t="str">
        <x:v>таблетки</x:v>
      </x:c>
      <x:c r="E28" s="116" t="n">
        <x:v>1</x:v>
      </x:c>
      <x:c r="F28" s="117" t="str">
        <x:v>упаковка</x:v>
      </x:c>
      <x:c r="G28" s="118" t="str">
        <x:v>2028-11-30</x:v>
      </x:c>
      <x:c r="H28" s="114" t="str">
        <x:v>месяц</x:v>
      </x:c>
      <x:c r="I28" s="114" t="str">
        <x:v>Нижний ящик</x:v>
      </x:c>
      <x:c r="J28" s="115" t="str">
        <x:v>Конкор Кор 2,5 мг, бисопролол, до 11.2028</x:v>
      </x:c>
      <x:c r="K28" s="114" t="str">
        <x:v>Нет</x:v>
      </x:c>
      <x:c r="L28" s="114" t="str">
        <x:v>Годен</x:v>
      </x:c>
      <x:c r="M28" s="115" t="str"/>
    </x:row>
    <x:row r="29" ht="42" customHeight="1">
      <x:c r="A29" s="114" t="n">
        <x:v>23</x:v>
      </x:c>
      <x:c r="B29" s="115" t="str">
        <x:v>Элексир для горла «Здравие»</x:v>
      </x:c>
      <x:c r="C29" s="115" t="str"/>
      <x:c r="D29" s="115" t="str">
        <x:v>спрей</x:v>
      </x:c>
      <x:c r="E29" s="116" t="n">
        <x:v>1</x:v>
      </x:c>
      <x:c r="F29" s="117" t="str">
        <x:v>флакон</x:v>
      </x:c>
      <x:c r="G29" s="118" t="str">
        <x:v>2028-08-31</x:v>
      </x:c>
      <x:c r="H29" s="114" t="str">
        <x:v>месяц</x:v>
      </x:c>
      <x:c r="I29" s="114" t="str">
        <x:v>Нижний ящик</x:v>
      </x:c>
      <x:c r="J29" s="115" t="str">
        <x:v>Элексир для горла Здравие, спрей, до 08.2028</x:v>
      </x:c>
      <x:c r="K29" s="114" t="str">
        <x:v>Да</x:v>
      </x:c>
      <x:c r="L29" s="114" t="str">
        <x:v>Годен</x:v>
      </x:c>
      <x:c r="M29" s="115" t="str">
        <x:v>Название следует сверить с упаковкой</x:v>
      </x:c>
    </x:row>
    <x:row r="30" ht="42" customHeight="1">
      <x:c r="A30" s="114" t="n">
        <x:v>24</x:v>
      </x:c>
      <x:c r="B30" s="115" t="str">
        <x:v>Лозап Плюс</x:v>
      </x:c>
      <x:c r="C30" s="115" t="str">
        <x:v>12,5 мг + 50 мг</x:v>
      </x:c>
      <x:c r="D30" s="115" t="str">
        <x:v>таблетки</x:v>
      </x:c>
      <x:c r="E30" s="116" t="n">
        <x:v>1</x:v>
      </x:c>
      <x:c r="F30" s="117" t="str">
        <x:v>упаковка</x:v>
      </x:c>
      <x:c r="G30" s="118" t="str">
        <x:v>2028-05-31</x:v>
      </x:c>
      <x:c r="H30" s="114" t="str">
        <x:v>месяц</x:v>
      </x:c>
      <x:c r="I30" s="114" t="str">
        <x:v>Нижний ящик</x:v>
      </x:c>
      <x:c r="J30" s="115" t="str">
        <x:v>Лозап плюс 12,5 мг + 50 мг до 05.2028</x:v>
      </x:c>
      <x:c r="K30" s="114" t="str">
        <x:v>Нет</x:v>
      </x:c>
      <x:c r="L30" s="114" t="str">
        <x:v>Годен</x:v>
      </x:c>
      <x:c r="M30" s="115" t="str"/>
    </x:row>
    <x:row r="31" ht="42" customHeight="1">
      <x:c r="A31" s="114" t="n">
        <x:v>25</x:v>
      </x:c>
      <x:c r="B31" s="115" t="str">
        <x:v>Liksius</x:v>
      </x:c>
      <x:c r="C31" s="115" t="str"/>
      <x:c r="D31" s="115" t="str">
        <x:v>бактерицидный лейкопластырь натуральный</x:v>
      </x:c>
      <x:c r="E31" s="116" t="n">
        <x:v>1</x:v>
      </x:c>
      <x:c r="F31" s="117" t="str">
        <x:v>упаковка</x:v>
      </x:c>
      <x:c r="G31" s="118" t="str">
        <x:v>2030-04-30</x:v>
      </x:c>
      <x:c r="H31" s="114" t="str">
        <x:v>месяц</x:v>
      </x:c>
      <x:c r="I31" s="114" t="str">
        <x:v>Нижний ящик</x:v>
      </x:c>
      <x:c r="J31" s="115" t="str">
        <x:v>Бактерицидный лейкопластырь натуральный Liksius до 04.2030</x:v>
      </x:c>
      <x:c r="K31" s="114" t="str">
        <x:v>Нет</x:v>
      </x:c>
      <x:c r="L31" s="114" t="str">
        <x:v>Годен</x:v>
      </x:c>
      <x:c r="M31" s="115" t="str"/>
    </x:row>
    <x:row r="32" ht="42" customHeight="1">
      <x:c r="A32" s="114" t="n">
        <x:v>26</x:v>
      </x:c>
      <x:c r="B32" s="115" t="str">
        <x:v>Лирипрон Алтей</x:v>
      </x:c>
      <x:c r="C32" s="115" t="str"/>
      <x:c r="D32" s="115" t="str">
        <x:v>блистер без упаковки</x:v>
      </x:c>
      <x:c r="E32" s="116" t="n">
        <x:v>1</x:v>
      </x:c>
      <x:c r="F32" s="117" t="str">
        <x:v>блистер</x:v>
      </x:c>
      <x:c r="G32" s="118" t="str"/>
      <x:c r="H32" s="114" t="str">
        <x:v>дата изготовления</x:v>
      </x:c>
      <x:c r="I32" s="114" t="str">
        <x:v>Зелёный ящик</x:v>
      </x:c>
      <x:c r="J32" s="115" t="str">
        <x:v>Лирипрон Алтей, изготовлен 09.2024, блистер без пачки. Зелёный ящик</x:v>
      </x:c>
      <x:c r="K32" s="114" t="str">
        <x:v>Да</x:v>
      </x:c>
      <x:c r="L32" s="114" t="str">
        <x:v>Не указан</x:v>
      </x:c>
      <x:c r="M32" s="115" t="str">
        <x:v>В исходнике указана дата изготовления; название следует сверить</x:v>
      </x:c>
    </x:row>
    <x:row r="33" ht="42" customHeight="1">
      <x:c r="A33" s="114" t="n">
        <x:v>27</x:v>
      </x:c>
      <x:c r="B33" s="115" t="str">
        <x:v>Максилак</x:v>
      </x:c>
      <x:c r="C33" s="115" t="str"/>
      <x:c r="D33" s="115" t="str">
        <x:v>капсулы</x:v>
      </x:c>
      <x:c r="E33" s="116" t="n">
        <x:v>10</x:v>
      </x:c>
      <x:c r="F33" s="117" t="str">
        <x:v>капсула</x:v>
      </x:c>
      <x:c r="G33" s="118" t="str">
        <x:v>2027-02-28</x:v>
      </x:c>
      <x:c r="H33" s="114" t="str">
        <x:v>месяц</x:v>
      </x:c>
      <x:c r="I33" s="114" t="str">
        <x:v>Зелёный ящик</x:v>
      </x:c>
      <x:c r="J33" s="115" t="str">
        <x:v>Максилак 10 капсул до 02.2027. Зелёный ящик</x:v>
      </x:c>
      <x:c r="K33" s="114" t="str">
        <x:v>Нет</x:v>
      </x:c>
      <x:c r="L33" s="114" t="str">
        <x:v>До 180 дней</x:v>
      </x:c>
      <x:c r="M33" s="115" t="str"/>
    </x:row>
    <x:row r="34" ht="42" customHeight="1">
      <x:c r="A34" s="114" t="n">
        <x:v>28</x:v>
      </x:c>
      <x:c r="B34" s="115" t="str">
        <x:v>Парацетамол Реневал</x:v>
      </x:c>
      <x:c r="C34" s="115" t="str"/>
      <x:c r="D34" s="115" t="str">
        <x:v>таблетки</x:v>
      </x:c>
      <x:c r="E34" s="116" t="n">
        <x:v>1</x:v>
      </x:c>
      <x:c r="F34" s="117" t="str">
        <x:v>упаковка</x:v>
      </x:c>
      <x:c r="G34" s="118" t="str">
        <x:v>2028-03-31</x:v>
      </x:c>
      <x:c r="H34" s="114" t="str">
        <x:v>месяц</x:v>
      </x:c>
      <x:c r="I34" s="114" t="str">
        <x:v>Зелёный ящик</x:v>
      </x:c>
      <x:c r="J34" s="115" t="str">
        <x:v>Парацетамол Реневал до 03.2028. Зелёный ящик</x:v>
      </x:c>
      <x:c r="K34" s="114" t="str">
        <x:v>Нет</x:v>
      </x:c>
      <x:c r="L34" s="114" t="str">
        <x:v>Годен</x:v>
      </x:c>
      <x:c r="M34" s="115" t="str"/>
    </x:row>
    <x:row r="35" ht="42" customHeight="1">
      <x:c r="A35" s="114" t="n">
        <x:v>29</x:v>
      </x:c>
      <x:c r="B35" s="115" t="str">
        <x:v>Рыбий жир витаминизированный</x:v>
      </x:c>
      <x:c r="C35" s="115" t="str">
        <x:v>УП «МИНСКИНТЕРКАПС»</x:v>
      </x:c>
      <x:c r="D35" s="115" t="str">
        <x:v>капсулы</x:v>
      </x:c>
      <x:c r="E35" s="116" t="n">
        <x:v>2</x:v>
      </x:c>
      <x:c r="F35" s="117" t="str">
        <x:v>упаковка</x:v>
      </x:c>
      <x:c r="G35" s="118" t="str">
        <x:v>2028-01-31</x:v>
      </x:c>
      <x:c r="H35" s="114" t="str">
        <x:v>месяц</x:v>
      </x:c>
      <x:c r="I35" s="114" t="str">
        <x:v>Нижний ящик</x:v>
      </x:c>
      <x:c r="J35" s="115" t="str">
        <x:v>Рыбий жир витаминизированный от УП МИНСКИНТЕРКАПС до 01.2028 (2 пачки)</x:v>
      </x:c>
      <x:c r="K35" s="114" t="str">
        <x:v>Нет</x:v>
      </x:c>
      <x:c r="L35" s="114" t="str">
        <x:v>Годен</x:v>
      </x:c>
      <x:c r="M35" s="115" t="str"/>
    </x:row>
    <x:row r="36" ht="42" customHeight="1">
      <x:c r="A36" s="114" t="n">
        <x:v>30</x:v>
      </x:c>
      <x:c r="B36" s="115" t="str">
        <x:v>Изофра</x:v>
      </x:c>
      <x:c r="C36" s="115" t="str"/>
      <x:c r="D36" s="115" t="str">
        <x:v>капли</x:v>
      </x:c>
      <x:c r="E36" s="116" t="n">
        <x:v>1</x:v>
      </x:c>
      <x:c r="F36" s="117" t="str">
        <x:v>флакон</x:v>
      </x:c>
      <x:c r="G36" s="118" t="str">
        <x:v>2027-10-31</x:v>
      </x:c>
      <x:c r="H36" s="114" t="str">
        <x:v>месяц</x:v>
      </x:c>
      <x:c r="I36" s="114" t="str">
        <x:v>Зелёный ящик</x:v>
      </x:c>
      <x:c r="J36" s="115" t="str">
        <x:v>Изофра капли до 10.2027. Зелёный ящик</x:v>
      </x:c>
      <x:c r="K36" s="114" t="str">
        <x:v>Нет</x:v>
      </x:c>
      <x:c r="L36" s="114" t="str">
        <x:v>Годен</x:v>
      </x:c>
      <x:c r="M36" s="115" t="str"/>
    </x:row>
    <x:row r="37" ht="42" customHeight="1">
      <x:c r="A37" s="114" t="n">
        <x:v>31</x:v>
      </x:c>
      <x:c r="B37" s="115" t="str">
        <x:v>Ципромед</x:v>
      </x:c>
      <x:c r="C37" s="115" t="str">
        <x:v>ципрофлоксацин 0,3%</x:v>
      </x:c>
      <x:c r="D37" s="115" t="str">
        <x:v>капли</x:v>
      </x:c>
      <x:c r="E37" s="116" t="n">
        <x:v>1</x:v>
      </x:c>
      <x:c r="F37" s="117" t="str">
        <x:v>флакон</x:v>
      </x:c>
      <x:c r="G37" s="118" t="str">
        <x:v>2028-11-30</x:v>
      </x:c>
      <x:c r="H37" s="114" t="str">
        <x:v>месяц</x:v>
      </x:c>
      <x:c r="I37" s="114" t="str">
        <x:v>Нижний ящик</x:v>
      </x:c>
      <x:c r="J37" s="115" t="str">
        <x:v>Ципромед, ципрофлоксацин 0,3%, до 11.2028</x:v>
      </x:c>
      <x:c r="K37" s="114" t="str">
        <x:v>Нет</x:v>
      </x:c>
      <x:c r="L37" s="114" t="str">
        <x:v>Годен</x:v>
      </x:c>
      <x:c r="M37" s="115" t="str"/>
    </x:row>
    <x:row r="38" ht="42" customHeight="1">
      <x:c r="A38" s="114" t="n">
        <x:v>32</x:v>
      </x:c>
      <x:c r="B38" s="115" t="str">
        <x:v>Кедровая линия</x:v>
      </x:c>
      <x:c r="C38" s="115" t="str"/>
      <x:c r="D38" s="115" t="str">
        <x:v>капли в нос</x:v>
      </x:c>
      <x:c r="E38" s="116" t="n">
        <x:v>1</x:v>
      </x:c>
      <x:c r="F38" s="117" t="str">
        <x:v>флакон</x:v>
      </x:c>
      <x:c r="G38" s="118" t="str">
        <x:v>2028-04-30</x:v>
      </x:c>
      <x:c r="H38" s="114" t="str">
        <x:v>месяц</x:v>
      </x:c>
      <x:c r="I38" s="114" t="str">
        <x:v>Нижний ящик</x:v>
      </x:c>
      <x:c r="J38" s="115" t="str">
        <x:v>Кедровая линия, капли в нос, до 04.2028</x:v>
      </x:c>
      <x:c r="K38" s="114" t="str">
        <x:v>Нет</x:v>
      </x:c>
      <x:c r="L38" s="114" t="str">
        <x:v>Годен</x:v>
      </x:c>
      <x:c r="M38" s="115" t="str"/>
    </x:row>
    <x:row r="39" ht="42" customHeight="1">
      <x:c r="A39" s="114" t="n">
        <x:v>33</x:v>
      </x:c>
      <x:c r="B39" s="115" t="str">
        <x:v>ФинАйс</x:v>
      </x:c>
      <x:c r="C39" s="115" t="str"/>
      <x:c r="D39" s="115" t="str">
        <x:v>охлаждающе-разогревающий гель-ролик</x:v>
      </x:c>
      <x:c r="E39" s="116" t="n">
        <x:v>4</x:v>
      </x:c>
      <x:c r="F39" s="117" t="str">
        <x:v>штука</x:v>
      </x:c>
      <x:c r="G39" s="118" t="str">
        <x:v>2028-12-31</x:v>
      </x:c>
      <x:c r="H39" s="114" t="str">
        <x:v>год</x:v>
      </x:c>
      <x:c r="I39" s="114" t="str">
        <x:v>Нижний ящик</x:v>
      </x:c>
      <x:c r="J39" s="115" t="str">
        <x:v>ФинАйс охлаждающе-разогревающий гель-ролик до 2028, 4 штуки</x:v>
      </x:c>
      <x:c r="K39" s="114" t="str">
        <x:v>Да</x:v>
      </x:c>
      <x:c r="L39" s="114" t="str">
        <x:v>Годен</x:v>
      </x:c>
      <x:c r="M39" s="115" t="str">
        <x:v>Указан только год</x:v>
      </x:c>
    </x:row>
    <x:row r="40" ht="42" customHeight="1">
      <x:c r="A40" s="114" t="n">
        <x:v>34</x:v>
      </x:c>
      <x:c r="B40" s="115" t="str">
        <x:v>Глирикум</x:v>
      </x:c>
      <x:c r="C40" s="115" t="str"/>
      <x:c r="D40" s="115" t="str">
        <x:v>таблетки</x:v>
      </x:c>
      <x:c r="E40" s="116" t="n">
        <x:v>1</x:v>
      </x:c>
      <x:c r="F40" s="117" t="str">
        <x:v>упаковка</x:v>
      </x:c>
      <x:c r="G40" s="118" t="str">
        <x:v>2027-04-30</x:v>
      </x:c>
      <x:c r="H40" s="114" t="str">
        <x:v>месяц</x:v>
      </x:c>
      <x:c r="I40" s="114" t="str">
        <x:v>Нижний ящик</x:v>
      </x:c>
      <x:c r="J40" s="115" t="str">
        <x:v>Глирикум до 04.2027</x:v>
      </x:c>
      <x:c r="K40" s="114" t="str">
        <x:v>Да</x:v>
      </x:c>
      <x:c r="L40" s="114" t="str">
        <x:v>Годен</x:v>
      </x:c>
      <x:c r="M40" s="115" t="str">
        <x:v>Название следует сверить с упаковкой</x:v>
      </x:c>
    </x:row>
    <x:row r="41" ht="42" customHeight="1">
      <x:c r="A41" s="114" t="n">
        <x:v>35</x:v>
      </x:c>
      <x:c r="B41" s="115" t="str">
        <x:v>Ингавирин</x:v>
      </x:c>
      <x:c r="C41" s="115" t="str">
        <x:v>90 мг</x:v>
      </x:c>
      <x:c r="D41" s="115" t="str">
        <x:v>капсулы</x:v>
      </x:c>
      <x:c r="E41" s="116" t="n">
        <x:v>1</x:v>
      </x:c>
      <x:c r="F41" s="117" t="str">
        <x:v>упаковка</x:v>
      </x:c>
      <x:c r="G41" s="118" t="str">
        <x:v>2028-03-31</x:v>
      </x:c>
      <x:c r="H41" s="114" t="str">
        <x:v>месяц</x:v>
      </x:c>
      <x:c r="I41" s="114" t="str">
        <x:v>Нижний ящик</x:v>
      </x:c>
      <x:c r="J41" s="115" t="str">
        <x:v>Ингавирин 90 мг до 03.2028</x:v>
      </x:c>
      <x:c r="K41" s="114" t="str">
        <x:v>Нет</x:v>
      </x:c>
      <x:c r="L41" s="114" t="str">
        <x:v>Годен</x:v>
      </x:c>
      <x:c r="M41" s="115" t="str"/>
    </x:row>
    <x:row r="42" ht="42" customHeight="1">
      <x:c r="A42" s="114" t="n">
        <x:v>36</x:v>
      </x:c>
      <x:c r="B42" s="115" t="str">
        <x:v>Мультипласт традиционный</x:v>
      </x:c>
      <x:c r="C42" s="115" t="str"/>
      <x:c r="D42" s="115" t="str">
        <x:v>лейкопластырь фиксирующий</x:v>
      </x:c>
      <x:c r="E42" s="116" t="n">
        <x:v>1</x:v>
      </x:c>
      <x:c r="F42" s="117" t="str">
        <x:v>упаковка</x:v>
      </x:c>
      <x:c r="G42" s="118" t="str">
        <x:v>2029-02-28</x:v>
      </x:c>
      <x:c r="H42" s="114" t="str">
        <x:v>месяц</x:v>
      </x:c>
      <x:c r="I42" s="114" t="str">
        <x:v>Зелёный ящик</x:v>
      </x:c>
      <x:c r="J42" s="115" t="str">
        <x:v>Мультипласт традиционный (лейкопластырь фиксирующий) до 02.2029. Зелёный ящик</x:v>
      </x:c>
      <x:c r="K42" s="114" t="str">
        <x:v>Нет</x:v>
      </x:c>
      <x:c r="L42" s="114" t="str">
        <x:v>Годен</x:v>
      </x:c>
      <x:c r="M42" s="115" t="str"/>
    </x:row>
    <x:row r="43" ht="42" customHeight="1">
      <x:c r="A43" s="114" t="n">
        <x:v>37</x:v>
      </x:c>
      <x:c r="B43" s="115" t="str">
        <x:v>Регидрон</x:v>
      </x:c>
      <x:c r="C43" s="115" t="str">
        <x:v>20 пакетиков по 18,9 г</x:v>
      </x:c>
      <x:c r="D43" s="115" t="str">
        <x:v>порошок для приготовления раствора для приёма внутрь</x:v>
      </x:c>
      <x:c r="E43" s="116" t="n">
        <x:v>20</x:v>
      </x:c>
      <x:c r="F43" s="117" t="str">
        <x:v>пакетик</x:v>
      </x:c>
      <x:c r="G43" s="118" t="str">
        <x:v>2028-06-30</x:v>
      </x:c>
      <x:c r="H43" s="114" t="str">
        <x:v>месяц</x:v>
      </x:c>
      <x:c r="I43" s="114" t="str">
        <x:v>Нижний ящик</x:v>
      </x:c>
      <x:c r="J43" s="115" t="str">
        <x:v>Регидрон, порошок для приготовления раствора, 20 пакетиков по 18,9 г, до 06.2028</x:v>
      </x:c>
      <x:c r="K43" s="114" t="str">
        <x:v>Нет</x:v>
      </x:c>
      <x:c r="L43" s="114" t="str">
        <x:v>Годен</x:v>
      </x:c>
      <x:c r="M43" s="115" t="str"/>
    </x:row>
    <x:row r="44" ht="42" customHeight="1">
      <x:c r="A44" s="114" t="n">
        <x:v>38</x:v>
      </x:c>
      <x:c r="B44" s="115" t="str">
        <x:v>Medicare antiseptic plastic strips</x:v>
      </x:c>
      <x:c r="C44" s="115" t="str">
        <x:v>красная пачка</x:v>
      </x:c>
      <x:c r="D44" s="115" t="str">
        <x:v>пластыри</x:v>
      </x:c>
      <x:c r="E44" s="116" t="n">
        <x:v>1</x:v>
      </x:c>
      <x:c r="F44" s="117" t="str">
        <x:v>упаковка</x:v>
      </x:c>
      <x:c r="G44" s="118" t="str">
        <x:v>2030-12-31</x:v>
      </x:c>
      <x:c r="H44" s="114" t="str">
        <x:v>год</x:v>
      </x:c>
      <x:c r="I44" s="114" t="str">
        <x:v>Нижний ящик</x:v>
      </x:c>
      <x:c r="J44" s="115" t="str">
        <x:v>Medicare antiseptic plastic strips (красная пачка) до 2030</x:v>
      </x:c>
      <x:c r="K44" s="114" t="str">
        <x:v>Да</x:v>
      </x:c>
      <x:c r="L44" s="114" t="str">
        <x:v>Годен</x:v>
      </x:c>
      <x:c r="M44" s="115" t="str">
        <x:v>Указан только год</x:v>
      </x:c>
    </x:row>
    <x:row r="45" ht="42" customHeight="1">
      <x:c r="A45" s="114" t="n">
        <x:v>39</x:v>
      </x:c>
      <x:c r="B45" s="115" t="str">
        <x:v>Доритрицин</x:v>
      </x:c>
      <x:c r="C45" s="115" t="str"/>
      <x:c r="D45" s="115" t="str">
        <x:v>таблетки</x:v>
      </x:c>
      <x:c r="E45" s="116" t="n">
        <x:v>1</x:v>
      </x:c>
      <x:c r="F45" s="117" t="str">
        <x:v>упаковка</x:v>
      </x:c>
      <x:c r="G45" s="118" t="str">
        <x:v>2028-05-31</x:v>
      </x:c>
      <x:c r="H45" s="114" t="str">
        <x:v>месяц</x:v>
      </x:c>
      <x:c r="I45" s="114" t="str">
        <x:v>Зелёный ящик</x:v>
      </x:c>
      <x:c r="J45" s="115" t="str">
        <x:v>Доритрицин до 05.2028. Зелёный ящик</x:v>
      </x:c>
      <x:c r="K45" s="114" t="str">
        <x:v>Нет</x:v>
      </x:c>
      <x:c r="L45" s="114" t="str">
        <x:v>Годен</x:v>
      </x:c>
      <x:c r="M45" s="115" t="str"/>
    </x:row>
    <x:row r="46" ht="42" customHeight="1">
      <x:c r="A46" s="114" t="n">
        <x:v>40</x:v>
      </x:c>
      <x:c r="B46" s="115" t="str">
        <x:v>Нимесил</x:v>
      </x:c>
      <x:c r="C46" s="115" t="str"/>
      <x:c r="D46" s="115" t="str">
        <x:v>пакетики без упаковки</x:v>
      </x:c>
      <x:c r="E46" s="116" t="n">
        <x:v>2</x:v>
      </x:c>
      <x:c r="F46" s="117" t="str">
        <x:v>пакетик</x:v>
      </x:c>
      <x:c r="G46" s="118" t="str">
        <x:v>2028-01-31</x:v>
      </x:c>
      <x:c r="H46" s="114" t="str">
        <x:v>месяц</x:v>
      </x:c>
      <x:c r="I46" s="114" t="str">
        <x:v>Зелёный ящик</x:v>
      </x:c>
      <x:c r="J46" s="115" t="str">
        <x:v>Нимесил, 2 пакетика без пачки, до 01.2028. Зелёный ящик</x:v>
      </x:c>
      <x:c r="K46" s="114" t="str">
        <x:v>Нет</x:v>
      </x:c>
      <x:c r="L46" s="114" t="str">
        <x:v>Годен</x:v>
      </x:c>
      <x:c r="M46" s="115" t="str"/>
    </x:row>
    <x:row r="47" ht="42" customHeight="1">
      <x:c r="A47" s="114" t="n">
        <x:v>41</x:v>
      </x:c>
      <x:c r="B47" s="115" t="str">
        <x:v>Перекись водорода</x:v>
      </x:c>
      <x:c r="C47" s="115" t="str">
        <x:v>3%</x:v>
      </x:c>
      <x:c r="D47" s="115" t="str">
        <x:v>раствор</x:v>
      </x:c>
      <x:c r="E47" s="116" t="n">
        <x:v>1</x:v>
      </x:c>
      <x:c r="F47" s="117" t="str">
        <x:v>флакон</x:v>
      </x:c>
      <x:c r="G47" s="118" t="str">
        <x:v>2028-12-31</x:v>
      </x:c>
      <x:c r="H47" s="114" t="str">
        <x:v>год</x:v>
      </x:c>
      <x:c r="I47" s="114" t="str">
        <x:v>Нижний ящик</x:v>
      </x:c>
      <x:c r="J47" s="115" t="str">
        <x:v>Перекись водорода 3% до 2028</x:v>
      </x:c>
      <x:c r="K47" s="114" t="str">
        <x:v>Да</x:v>
      </x:c>
      <x:c r="L47" s="114" t="str">
        <x:v>Годен</x:v>
      </x:c>
      <x:c r="M47" s="115" t="str">
        <x:v>Указан только год</x:v>
      </x:c>
    </x:row>
    <x:row r="48" ht="42" customHeight="1">
      <x:c r="A48" s="114" t="n">
        <x:v>42</x:v>
      </x:c>
      <x:c r="B48" s="115" t="str">
        <x:v>Хлоргексидин</x:v>
      </x:c>
      <x:c r="C48" s="115" t="str"/>
      <x:c r="D48" s="115" t="str">
        <x:v>раствор</x:v>
      </x:c>
      <x:c r="E48" s="116" t="n">
        <x:v>1</x:v>
      </x:c>
      <x:c r="F48" s="117" t="str">
        <x:v>флакон</x:v>
      </x:c>
      <x:c r="G48" s="118" t="str">
        <x:v>2028-12-31</x:v>
      </x:c>
      <x:c r="H48" s="114" t="str">
        <x:v>год</x:v>
      </x:c>
      <x:c r="I48" s="114" t="str">
        <x:v>Нижний ящик</x:v>
      </x:c>
      <x:c r="J48" s="115" t="str">
        <x:v>Раствор хлоргексидина до 2028</x:v>
      </x:c>
      <x:c r="K48" s="114" t="str">
        <x:v>Да</x:v>
      </x:c>
      <x:c r="L48" s="114" t="str">
        <x:v>Годен</x:v>
      </x:c>
      <x:c r="M48" s="115" t="str">
        <x:v>Указан только год</x:v>
      </x:c>
    </x:row>
    <x:row r="49" ht="42" customHeight="1">
      <x:c r="A49" s="114" t="n">
        <x:v>43</x:v>
      </x:c>
      <x:c r="B49" s="115" t="str">
        <x:v>Хлоргексидина биглюконат</x:v>
      </x:c>
      <x:c r="C49" s="115" t="str">
        <x:v>0,05%</x:v>
      </x:c>
      <x:c r="D49" s="115" t="str">
        <x:v>раствор</x:v>
      </x:c>
      <x:c r="E49" s="116" t="n">
        <x:v>1</x:v>
      </x:c>
      <x:c r="F49" s="117" t="str">
        <x:v>флакон</x:v>
      </x:c>
      <x:c r="G49" s="118" t="str">
        <x:v>2028-12-31</x:v>
      </x:c>
      <x:c r="H49" s="114" t="str">
        <x:v>год</x:v>
      </x:c>
      <x:c r="I49" s="114" t="str">
        <x:v>Нижний ящик</x:v>
      </x:c>
      <x:c r="J49" s="115" t="str">
        <x:v>Раствор хлоргексидина биглюконат 0,05% до 2028</x:v>
      </x:c>
      <x:c r="K49" s="114" t="str">
        <x:v>Да</x:v>
      </x:c>
      <x:c r="L49" s="114" t="str">
        <x:v>Годен</x:v>
      </x:c>
      <x:c r="M49" s="115" t="str">
        <x:v>Указан только год</x:v>
      </x:c>
    </x:row>
    <x:row r="50" ht="42" customHeight="1">
      <x:c r="A50" s="114" t="n">
        <x:v>44</x:v>
      </x:c>
      <x:c r="B50" s="115" t="str">
        <x:v>Гель для рук антисептический</x:v>
      </x:c>
      <x:c r="C50" s="115" t="str"/>
      <x:c r="D50" s="115" t="str">
        <x:v>гель</x:v>
      </x:c>
      <x:c r="E50" s="116" t="n">
        <x:v>1</x:v>
      </x:c>
      <x:c r="F50" s="117" t="str">
        <x:v>флакон</x:v>
      </x:c>
      <x:c r="G50" s="118" t="str">
        <x:v>2028-12-31</x:v>
      </x:c>
      <x:c r="H50" s="114" t="str">
        <x:v>год</x:v>
      </x:c>
      <x:c r="I50" s="114" t="str">
        <x:v>Нижний ящик</x:v>
      </x:c>
      <x:c r="J50" s="115" t="str">
        <x:v>Гель для рук антисептический до 2028</x:v>
      </x:c>
      <x:c r="K50" s="114" t="str">
        <x:v>Да</x:v>
      </x:c>
      <x:c r="L50" s="114" t="str">
        <x:v>Годен</x:v>
      </x:c>
      <x:c r="M50" s="115" t="str">
        <x:v>Указан только год</x:v>
      </x:c>
    </x:row>
    <x:row r="51" ht="42" customHeight="1">
      <x:c r="A51" s="114" t="n">
        <x:v>45</x:v>
      </x:c>
      <x:c r="B51" s="115" t="str">
        <x:v>Крем-бальзам при геморрое</x:v>
      </x:c>
      <x:c r="C51" s="115" t="str">
        <x:v>30 мл</x:v>
      </x:c>
      <x:c r="D51" s="115" t="str">
        <x:v>крем-бальзам</x:v>
      </x:c>
      <x:c r="E51" s="116" t="n">
        <x:v>1</x:v>
      </x:c>
      <x:c r="F51" s="117" t="str">
        <x:v>тюбик</x:v>
      </x:c>
      <x:c r="G51" s="118" t="str">
        <x:v>2028-08-31</x:v>
      </x:c>
      <x:c r="H51" s="114" t="str">
        <x:v>месяц</x:v>
      </x:c>
      <x:c r="I51" s="114" t="str">
        <x:v>Нижний ящик</x:v>
      </x:c>
      <x:c r="J51" s="115" t="str">
        <x:v>Крем-бальзам при геморрое 30 мл до 08.2028</x:v>
      </x:c>
      <x:c r="K51" s="114" t="str">
        <x:v>Нет</x:v>
      </x:c>
      <x:c r="L51" s="114" t="str">
        <x:v>Годен</x:v>
      </x:c>
      <x:c r="M51" s="115" t="str"/>
    </x:row>
    <x:row r="52" ht="42" customHeight="1">
      <x:c r="A52" s="114" t="n">
        <x:v>46</x:v>
      </x:c>
      <x:c r="B52" s="115" t="str">
        <x:v>Крымский травник Гемотрокс</x:v>
      </x:c>
      <x:c r="C52" s="115" t="str"/>
      <x:c r="D52" s="115" t="str">
        <x:v>крем-бальзам</x:v>
      </x:c>
      <x:c r="E52" s="116" t="n">
        <x:v>1</x:v>
      </x:c>
      <x:c r="F52" s="117" t="str">
        <x:v>упаковка</x:v>
      </x:c>
      <x:c r="G52" s="118" t="str">
        <x:v>2027-04-30</x:v>
      </x:c>
      <x:c r="H52" s="114" t="str">
        <x:v>месяц</x:v>
      </x:c>
      <x:c r="I52" s="114" t="str">
        <x:v>Нижний ящик</x:v>
      </x:c>
      <x:c r="J52" s="115" t="str">
        <x:v>Крымский травник Гемотрокс до 04.2027</x:v>
      </x:c>
      <x:c r="K52" s="114" t="str">
        <x:v>Нет</x:v>
      </x:c>
      <x:c r="L52" s="114" t="str">
        <x:v>Годен</x:v>
      </x:c>
      <x:c r="M52" s="115" t="str"/>
    </x:row>
    <x:row r="53" ht="42" customHeight="1">
      <x:c r="A53" s="114" t="n">
        <x:v>47</x:v>
      </x:c>
      <x:c r="B53" s="115" t="str">
        <x:v>Лозап</x:v>
      </x:c>
      <x:c r="C53" s="115" t="str"/>
      <x:c r="D53" s="115" t="str">
        <x:v>блистер без упаковки</x:v>
      </x:c>
      <x:c r="E53" s="116" t="n">
        <x:v>1</x:v>
      </x:c>
      <x:c r="F53" s="117" t="str">
        <x:v>блистер</x:v>
      </x:c>
      <x:c r="G53" s="118" t="str">
        <x:v>2027-11-30</x:v>
      </x:c>
      <x:c r="H53" s="114" t="str">
        <x:v>месяц</x:v>
      </x:c>
      <x:c r="I53" s="114" t="str">
        <x:v>Зелёный ящик</x:v>
      </x:c>
      <x:c r="J53" s="115" t="str">
        <x:v>Лозап, блистер без пачки, до 11.2027. Зелёный ящик</x:v>
      </x:c>
      <x:c r="K53" s="114" t="str">
        <x:v>Нет</x:v>
      </x:c>
      <x:c r="L53" s="114" t="str">
        <x:v>Годен</x:v>
      </x:c>
      <x:c r="M53" s="115" t="str"/>
    </x:row>
    <x:row r="54" ht="42" customHeight="1">
      <x:c r="A54" s="114" t="n">
        <x:v>48</x:v>
      </x:c>
      <x:c r="B54" s="115" t="str">
        <x:v>Полисорб</x:v>
      </x:c>
      <x:c r="C54" s="115" t="str"/>
      <x:c r="D54" s="115" t="str">
        <x:v>порошок</x:v>
      </x:c>
      <x:c r="E54" s="116" t="n">
        <x:v>1</x:v>
      </x:c>
      <x:c r="F54" s="117" t="str">
        <x:v>упаковка</x:v>
      </x:c>
      <x:c r="G54" s="118" t="str">
        <x:v>2030-03-31</x:v>
      </x:c>
      <x:c r="H54" s="114" t="str">
        <x:v>месяц</x:v>
      </x:c>
      <x:c r="I54" s="114" t="str">
        <x:v>Нижний ящик</x:v>
      </x:c>
      <x:c r="J54" s="115" t="str">
        <x:v>Полисорб до 03.2030</x:v>
      </x:c>
      <x:c r="K54" s="114" t="str">
        <x:v>Нет</x:v>
      </x:c>
      <x:c r="L54" s="114" t="str">
        <x:v>Годен</x:v>
      </x:c>
      <x:c r="M54" s="115" t="str"/>
    </x:row>
    <x:row r="55" ht="42" customHeight="1">
      <x:c r="A55" s="114" t="n">
        <x:v>49</x:v>
      </x:c>
      <x:c r="B55" s="115" t="str">
        <x:v>Hünnap Karadut Şurubu</x:v>
      </x:c>
      <x:c r="C55" s="115" t="str"/>
      <x:c r="D55" s="115" t="str">
        <x:v>сироп чёрной шелковицы</x:v>
      </x:c>
      <x:c r="E55" s="116" t="n">
        <x:v>1</x:v>
      </x:c>
      <x:c r="F55" s="117" t="str">
        <x:v>флакон</x:v>
      </x:c>
      <x:c r="G55" s="118" t="str">
        <x:v>2030-12-31</x:v>
      </x:c>
      <x:c r="H55" s="114" t="str">
        <x:v>год</x:v>
      </x:c>
      <x:c r="I55" s="114" t="str">
        <x:v>Нижний ящик</x:v>
      </x:c>
      <x:c r="J55" s="115" t="str">
        <x:v>Hunnap karadut surubu, сироп, до 2030</x:v>
      </x:c>
      <x:c r="K55" s="114" t="str">
        <x:v>Да</x:v>
      </x:c>
      <x:c r="L55" s="114" t="str">
        <x:v>Годен</x:v>
      </x:c>
      <x:c r="M55" s="115" t="str">
        <x:v>Указан только год</x:v>
      </x:c>
    </x:row>
    <x:row r="56" ht="42" customHeight="1">
      <x:c r="A56" s="114" t="n">
        <x:v>50</x:v>
      </x:c>
      <x:c r="B56" s="115" t="str">
        <x:v>Бальзам «Золотая звезда»</x:v>
      </x:c>
      <x:c r="C56" s="115" t="str"/>
      <x:c r="D56" s="115" t="str">
        <x:v>бальзам</x:v>
      </x:c>
      <x:c r="E56" s="116" t="n">
        <x:v>1</x:v>
      </x:c>
      <x:c r="F56" s="117" t="str">
        <x:v>упаковка</x:v>
      </x:c>
      <x:c r="G56" s="118" t="str">
        <x:v>2026-11-30</x:v>
      </x:c>
      <x:c r="H56" s="114" t="str">
        <x:v>месяц</x:v>
      </x:c>
      <x:c r="I56" s="114" t="str">
        <x:v>Зелёный ящик</x:v>
      </x:c>
      <x:c r="J56" s="115" t="str">
        <x:v>Бальзам Золотая звезда до 11.2026. Зелёный ящик</x:v>
      </x:c>
      <x:c r="K56" s="114" t="str">
        <x:v>Нет</x:v>
      </x:c>
      <x:c r="L56" s="114" t="str">
        <x:v>До 90 дней</x:v>
      </x:c>
      <x:c r="M56" s="115" t="str"/>
    </x:row>
    <x:row r="57" ht="42" customHeight="1">
      <x:c r="A57" s="114" t="n">
        <x:v>51</x:v>
      </x:c>
      <x:c r="B57" s="115" t="str">
        <x:v>Лориста</x:v>
      </x:c>
      <x:c r="C57" s="115" t="str">
        <x:v>25 мг</x:v>
      </x:c>
      <x:c r="D57" s="115" t="str">
        <x:v>таблетки</x:v>
      </x:c>
      <x:c r="E57" s="116" t="n">
        <x:v>2</x:v>
      </x:c>
      <x:c r="F57" s="117" t="str">
        <x:v>упаковка</x:v>
      </x:c>
      <x:c r="G57" s="118" t="str">
        <x:v>2031-02-28</x:v>
      </x:c>
      <x:c r="H57" s="114" t="str">
        <x:v>месяц</x:v>
      </x:c>
      <x:c r="I57" s="114" t="str">
        <x:v>Зелёный ящик</x:v>
      </x:c>
      <x:c r="J57" s="115" t="str">
        <x:v>Лориста 25 мг до 02.2031 (2 пачки). Зелёный ящик</x:v>
      </x:c>
      <x:c r="K57" s="114" t="str">
        <x:v>Нет</x:v>
      </x:c>
      <x:c r="L57" s="114" t="str">
        <x:v>Годен</x:v>
      </x:c>
      <x:c r="M57" s="115" t="str"/>
    </x:row>
    <x:row r="58" ht="42" customHeight="1">
      <x:c r="A58" s="114" t="n">
        <x:v>52</x:v>
      </x:c>
      <x:c r="B58" s="115" t="str">
        <x:v>Парацетамол Реневал</x:v>
      </x:c>
      <x:c r="C58" s="115" t="str">
        <x:v>500 мг</x:v>
      </x:c>
      <x:c r="D58" s="115" t="str">
        <x:v>таблетки</x:v>
      </x:c>
      <x:c r="E58" s="116" t="n">
        <x:v>1</x:v>
      </x:c>
      <x:c r="F58" s="117" t="str">
        <x:v>упаковка</x:v>
      </x:c>
      <x:c r="G58" s="118" t="str">
        <x:v>2027-10-31</x:v>
      </x:c>
      <x:c r="H58" s="114" t="str">
        <x:v>месяц</x:v>
      </x:c>
      <x:c r="I58" s="114" t="str">
        <x:v>Зелёный ящик</x:v>
      </x:c>
      <x:c r="J58" s="115" t="str">
        <x:v>Парацетамол Реневал 500 мг до 10.2027. Зелёный ящик</x:v>
      </x:c>
      <x:c r="K58" s="114" t="str">
        <x:v>Нет</x:v>
      </x:c>
      <x:c r="L58" s="114" t="str">
        <x:v>Годен</x:v>
      </x:c>
      <x:c r="M58" s="115" t="str"/>
    </x:row>
    <x:row r="59" ht="42" customHeight="1">
      <x:c r="A59" s="114" t="n">
        <x:v>53</x:v>
      </x:c>
      <x:c r="B59" s="115" t="str">
        <x:v>Бисептол</x:v>
      </x:c>
      <x:c r="C59" s="115" t="str"/>
      <x:c r="D59" s="115" t="str">
        <x:v>блистер без упаковки</x:v>
      </x:c>
      <x:c r="E59" s="116" t="n">
        <x:v>1</x:v>
      </x:c>
      <x:c r="F59" s="117" t="str">
        <x:v>блистер</x:v>
      </x:c>
      <x:c r="G59" s="118" t="str"/>
      <x:c r="H59" s="114" t="str">
        <x:v>не указан</x:v>
      </x:c>
      <x:c r="I59" s="114" t="str">
        <x:v>Зелёный ящик</x:v>
      </x:c>
      <x:c r="J59" s="115" t="str">
        <x:v>Бисептол без пачки, только блистер. Зелёный ящик</x:v>
      </x:c>
      <x:c r="K59" s="114" t="str">
        <x:v>Да</x:v>
      </x:c>
      <x:c r="L59" s="114" t="str">
        <x:v>Не указан</x:v>
      </x:c>
      <x:c r="M59" s="115" t="str">
        <x:v>Срок годности не указан</x:v>
      </x:c>
    </x:row>
    <x:row r="60" ht="42" customHeight="1">
      <x:c r="A60" s="114" t="n">
        <x:v>54</x:v>
      </x:c>
      <x:c r="B60" s="115" t="str">
        <x:v>Но-шпа</x:v>
      </x:c>
      <x:c r="C60" s="115" t="str"/>
      <x:c r="D60" s="115" t="str">
        <x:v>блистер без упаковки</x:v>
      </x:c>
      <x:c r="E60" s="116" t="n">
        <x:v>1</x:v>
      </x:c>
      <x:c r="F60" s="117" t="str">
        <x:v>блистер</x:v>
      </x:c>
      <x:c r="G60" s="118" t="str">
        <x:v>2026-11-30</x:v>
      </x:c>
      <x:c r="H60" s="114" t="str">
        <x:v>месяц</x:v>
      </x:c>
      <x:c r="I60" s="114" t="str">
        <x:v>Зелёный ящик</x:v>
      </x:c>
      <x:c r="J60" s="115" t="str">
        <x:v>Но-шпа, только блистер, до 11.2026. Зелёный ящик</x:v>
      </x:c>
      <x:c r="K60" s="114" t="str">
        <x:v>Нет</x:v>
      </x:c>
      <x:c r="L60" s="114" t="str">
        <x:v>До 90 дней</x:v>
      </x:c>
      <x:c r="M60" s="115" t="str"/>
    </x:row>
    <x:row r="61" ht="42" customHeight="1">
      <x:c r="A61" s="114" t="n">
        <x:v>55</x:v>
      </x:c>
      <x:c r="B61" s="115" t="str">
        <x:v>Здравсити Шалфей</x:v>
      </x:c>
      <x:c r="C61" s="115" t="str"/>
      <x:c r="D61" s="115" t="str">
        <x:v>блистер без упаковки</x:v>
      </x:c>
      <x:c r="E61" s="116" t="n">
        <x:v>1</x:v>
      </x:c>
      <x:c r="F61" s="117" t="str">
        <x:v>блистер</x:v>
      </x:c>
      <x:c r="G61" s="118" t="str"/>
      <x:c r="H61" s="114" t="str">
        <x:v>не указан</x:v>
      </x:c>
      <x:c r="I61" s="114" t="str">
        <x:v>Зелёный ящик</x:v>
      </x:c>
      <x:c r="J61" s="115" t="str">
        <x:v>Здравсити шалфей, только блистер. Зелёный ящик</x:v>
      </x:c>
      <x:c r="K61" s="114" t="str">
        <x:v>Да</x:v>
      </x:c>
      <x:c r="L61" s="114" t="str">
        <x:v>Не указан</x:v>
      </x:c>
      <x:c r="M61" s="115" t="str">
        <x:v>Название и срок годности следует сверить</x:v>
      </x:c>
    </x:row>
    <x:row r="62" ht="42" customHeight="1">
      <x:c r="A62" s="114" t="n">
        <x:v>56</x:v>
      </x:c>
      <x:c r="B62" s="115" t="str">
        <x:v>Дюспаталин</x:v>
      </x:c>
      <x:c r="C62" s="115" t="str"/>
      <x:c r="D62" s="115" t="str">
        <x:v>блистер без упаковки</x:v>
      </x:c>
      <x:c r="E62" s="116" t="n">
        <x:v>1</x:v>
      </x:c>
      <x:c r="F62" s="117" t="str">
        <x:v>блистер</x:v>
      </x:c>
      <x:c r="G62" s="118" t="str"/>
      <x:c r="H62" s="114" t="str">
        <x:v>не указан</x:v>
      </x:c>
      <x:c r="I62" s="114" t="str">
        <x:v>Зелёный ящик</x:v>
      </x:c>
      <x:c r="J62" s="115" t="str">
        <x:v>Дюспаталин, только блистер. Зелёный ящик</x:v>
      </x:c>
      <x:c r="K62" s="114" t="str">
        <x:v>Да</x:v>
      </x:c>
      <x:c r="L62" s="114" t="str">
        <x:v>Не указан</x:v>
      </x:c>
      <x:c r="M62" s="115" t="str">
        <x:v>Срок годности не указан</x:v>
      </x:c>
    </x:row>
    <x:row r="63" ht="42" customHeight="1">
      <x:c r="A63" s="114" t="n">
        <x:v>57</x:v>
      </x:c>
      <x:c r="B63" s="115" t="str">
        <x:v>Уголь активированный УБФ</x:v>
      </x:c>
      <x:c r="C63" s="115" t="str"/>
      <x:c r="D63" s="115" t="str">
        <x:v>блистер без упаковки</x:v>
      </x:c>
      <x:c r="E63" s="116" t="n">
        <x:v>1</x:v>
      </x:c>
      <x:c r="F63" s="117" t="str">
        <x:v>блистер</x:v>
      </x:c>
      <x:c r="G63" s="118" t="str">
        <x:v>2027-03-31</x:v>
      </x:c>
      <x:c r="H63" s="114" t="str">
        <x:v>месяц</x:v>
      </x:c>
      <x:c r="I63" s="114" t="str">
        <x:v>Зелёный ящик</x:v>
      </x:c>
      <x:c r="J63" s="115" t="str">
        <x:v>Уголь активированный УБФ, только блистер, до 03.2027. Зелёный ящик</x:v>
      </x:c>
      <x:c r="K63" s="114" t="str">
        <x:v>Нет</x:v>
      </x:c>
      <x:c r="L63" s="114" t="str">
        <x:v>До 180 дней</x:v>
      </x:c>
      <x:c r="M63" s="115" t="str"/>
    </x:row>
    <x:row r="64" ht="42" customHeight="1">
      <x:c r="A64" s="114" t="n">
        <x:v>58</x:v>
      </x:c>
      <x:c r="B64" s="115" t="str">
        <x:v>Спазмалгон</x:v>
      </x:c>
      <x:c r="C64" s="115" t="str"/>
      <x:c r="D64" s="115" t="str">
        <x:v>блистер без упаковки</x:v>
      </x:c>
      <x:c r="E64" s="116" t="n">
        <x:v>1</x:v>
      </x:c>
      <x:c r="F64" s="117" t="str">
        <x:v>блистер</x:v>
      </x:c>
      <x:c r="G64" s="118" t="str">
        <x:v>2026-11-30</x:v>
      </x:c>
      <x:c r="H64" s="114" t="str">
        <x:v>месяц</x:v>
      </x:c>
      <x:c r="I64" s="114" t="str">
        <x:v>Зелёный ящик</x:v>
      </x:c>
      <x:c r="J64" s="115" t="str">
        <x:v>Спазмалгон, только блистер, до 11.2026. Зелёный ящик</x:v>
      </x:c>
      <x:c r="K64" s="114" t="str">
        <x:v>Нет</x:v>
      </x:c>
      <x:c r="L64" s="114" t="str">
        <x:v>До 90 дней</x:v>
      </x:c>
      <x:c r="M64" s="115" t="str"/>
    </x:row>
    <x:row r="65" ht="42" customHeight="1">
      <x:c r="A65" s="114" t="n">
        <x:v>59</x:v>
      </x:c>
      <x:c r="B65" s="115" t="str">
        <x:v>Борная кислота</x:v>
      </x:c>
      <x:c r="C65" s="115" t="str"/>
      <x:c r="D65" s="115" t="str">
        <x:v>раствор</x:v>
      </x:c>
      <x:c r="E65" s="116" t="n">
        <x:v>1</x:v>
      </x:c>
      <x:c r="F65" s="117" t="str">
        <x:v>флакон</x:v>
      </x:c>
      <x:c r="G65" s="118" t="str">
        <x:v>2028-12-31</x:v>
      </x:c>
      <x:c r="H65" s="114" t="str">
        <x:v>год</x:v>
      </x:c>
      <x:c r="I65" s="114" t="str">
        <x:v>Зелёный ящик</x:v>
      </x:c>
      <x:c r="J65" s="115" t="str">
        <x:v>Борная кислота, раствор, до 2028. Зелёный ящик</x:v>
      </x:c>
      <x:c r="K65" s="114" t="str">
        <x:v>Да</x:v>
      </x:c>
      <x:c r="L65" s="114" t="str">
        <x:v>Годен</x:v>
      </x:c>
      <x:c r="M65" s="115" t="str">
        <x:v>Указан только год</x:v>
      </x:c>
    </x:row>
    <x:row r="66" ht="42" customHeight="1">
      <x:c r="A66" s="114" t="n">
        <x:v>60</x:v>
      </x:c>
      <x:c r="B66" s="115" t="str">
        <x:v>Гепариновая мазь</x:v>
      </x:c>
      <x:c r="C66" s="115" t="str"/>
      <x:c r="D66" s="115" t="str">
        <x:v>мазь</x:v>
      </x:c>
      <x:c r="E66" s="116" t="n">
        <x:v>1</x:v>
      </x:c>
      <x:c r="F66" s="117" t="str">
        <x:v>тюбик</x:v>
      </x:c>
      <x:c r="G66" s="118" t="str">
        <x:v>2027-12-31</x:v>
      </x:c>
      <x:c r="H66" s="114" t="str">
        <x:v>год</x:v>
      </x:c>
      <x:c r="I66" s="114" t="str">
        <x:v>Зелёный ящик</x:v>
      </x:c>
      <x:c r="J66" s="115" t="str">
        <x:v>Гепариновая мазь до 2027. Зелёный ящик</x:v>
      </x:c>
      <x:c r="K66" s="114" t="str">
        <x:v>Да</x:v>
      </x:c>
      <x:c r="L66" s="114" t="str">
        <x:v>Годен</x:v>
      </x:c>
      <x:c r="M66" s="115" t="str">
        <x:v>Указан только год</x:v>
      </x:c>
    </x:row>
    <x:row r="67" ht="42" customHeight="1">
      <x:c r="A67" s="114" t="n">
        <x:v>61</x:v>
      </x:c>
      <x:c r="B67" s="115" t="str">
        <x:v>Эвкалипт</x:v>
      </x:c>
      <x:c r="C67" s="115" t="str">
        <x:v>10 мл</x:v>
      </x:c>
      <x:c r="D67" s="115" t="str">
        <x:v>раствор</x:v>
      </x:c>
      <x:c r="E67" s="116" t="n">
        <x:v>1</x:v>
      </x:c>
      <x:c r="F67" s="117" t="str">
        <x:v>флакон</x:v>
      </x:c>
      <x:c r="G67" s="118" t="str">
        <x:v>2028-12-31</x:v>
      </x:c>
      <x:c r="H67" s="114" t="str">
        <x:v>год</x:v>
      </x:c>
      <x:c r="I67" s="114" t="str">
        <x:v>Зелёный ящик</x:v>
      </x:c>
      <x:c r="J67" s="115" t="str">
        <x:v>Эвкалипт 10 мл до 2028. Зелёный ящик</x:v>
      </x:c>
      <x:c r="K67" s="114" t="str">
        <x:v>Да</x:v>
      </x:c>
      <x:c r="L67" s="114" t="str">
        <x:v>Годен</x:v>
      </x:c>
      <x:c r="M67" s="115" t="str">
        <x:v>Указан только год</x:v>
      </x:c>
    </x:row>
    <x:row r="68" ht="42" customHeight="1">
      <x:c r="A68" s="114" t="n">
        <x:v>62</x:v>
      </x:c>
      <x:c r="B68" s="115" t="str">
        <x:v>Ксилен</x:v>
      </x:c>
      <x:c r="C68" s="115" t="str"/>
      <x:c r="D68" s="115" t="str">
        <x:v>капли</x:v>
      </x:c>
      <x:c r="E68" s="116" t="n">
        <x:v>1</x:v>
      </x:c>
      <x:c r="F68" s="117" t="str">
        <x:v>флакон</x:v>
      </x:c>
      <x:c r="G68" s="118" t="str">
        <x:v>2026-12-31</x:v>
      </x:c>
      <x:c r="H68" s="114" t="str">
        <x:v>месяц</x:v>
      </x:c>
      <x:c r="I68" s="114" t="str">
        <x:v>Зелёный ящик</x:v>
      </x:c>
      <x:c r="J68" s="115" t="str">
        <x:v>Ксилен, капли, до 12.2026. Зелёный ящик</x:v>
      </x:c>
      <x:c r="K68" s="114" t="str">
        <x:v>Нет</x:v>
      </x:c>
      <x:c r="L68" s="114" t="str">
        <x:v>До 90 дней</x:v>
      </x:c>
      <x:c r="M68" s="115" t="str"/>
    </x:row>
    <x:row r="69" ht="42" customHeight="1">
      <x:c r="A69" s="114" t="n">
        <x:v>63</x:v>
      </x:c>
      <x:c r="B69" s="115" t="str">
        <x:v>Зелёнка</x:v>
      </x:c>
      <x:c r="C69" s="115" t="str"/>
      <x:c r="D69" s="115" t="str">
        <x:v>раствор</x:v>
      </x:c>
      <x:c r="E69" s="116" t="n">
        <x:v>1</x:v>
      </x:c>
      <x:c r="F69" s="117" t="str">
        <x:v>флакон</x:v>
      </x:c>
      <x:c r="G69" s="118" t="str"/>
      <x:c r="H69" s="114" t="str">
        <x:v>не указан</x:v>
      </x:c>
      <x:c r="I69" s="114" t="str">
        <x:v>Зелёный ящик</x:v>
      </x:c>
      <x:c r="J69" s="115" t="str">
        <x:v>Зеленка. Зелёный ящик</x:v>
      </x:c>
      <x:c r="K69" s="114" t="str">
        <x:v>Да</x:v>
      </x:c>
      <x:c r="L69" s="114" t="str">
        <x:v>Не указан</x:v>
      </x:c>
      <x:c r="M69" s="115" t="str">
        <x:v>Срок годности не указан</x:v>
      </x:c>
    </x:row>
    <x:row r="70" ht="42" customHeight="1">
      <x:c r="A70" s="114" t="n">
        <x:v>64</x:v>
      </x:c>
      <x:c r="B70" s="115" t="str">
        <x:v>Терафлю</x:v>
      </x:c>
      <x:c r="C70" s="115" t="str"/>
      <x:c r="D70" s="115" t="str">
        <x:v>пакетик без упаковки</x:v>
      </x:c>
      <x:c r="E70" s="116" t="n">
        <x:v>1</x:v>
      </x:c>
      <x:c r="F70" s="117" t="str">
        <x:v>пакетик</x:v>
      </x:c>
      <x:c r="G70" s="118" t="str"/>
      <x:c r="H70" s="114" t="str">
        <x:v>не указан</x:v>
      </x:c>
      <x:c r="I70" s="114" t="str">
        <x:v>Зелёный ящик</x:v>
      </x:c>
      <x:c r="J70" s="115" t="str">
        <x:v>Терафлю, пакетик без пачки. Зелёный ящик</x:v>
      </x:c>
      <x:c r="K70" s="114" t="str">
        <x:v>Да</x:v>
      </x:c>
      <x:c r="L70" s="114" t="str">
        <x:v>Не указан</x:v>
      </x:c>
      <x:c r="M70" s="115" t="str">
        <x:v>Срок годности не указан</x:v>
      </x:c>
    </x:row>
    <x:row r="71" ht="42" customHeight="1">
      <x:c r="A71" s="114" t="n">
        <x:v>65</x:v>
      </x:c>
      <x:c r="B71" s="115" t="str">
        <x:v>Адвантан</x:v>
      </x:c>
      <x:c r="C71" s="115" t="str"/>
      <x:c r="D71" s="115" t="str">
        <x:v>мазь</x:v>
      </x:c>
      <x:c r="E71" s="116" t="n">
        <x:v>1</x:v>
      </x:c>
      <x:c r="F71" s="117" t="str">
        <x:v>тюбик</x:v>
      </x:c>
      <x:c r="G71" s="118" t="str">
        <x:v>2028-12-31</x:v>
      </x:c>
      <x:c r="H71" s="114" t="str">
        <x:v>год</x:v>
      </x:c>
      <x:c r="I71" s="114" t="str">
        <x:v>Зелёный ящик</x:v>
      </x:c>
      <x:c r="J71" s="115" t="str">
        <x:v>Адвантан, мазь, до 2028. Зелёный ящик</x:v>
      </x:c>
      <x:c r="K71" s="114" t="str">
        <x:v>Да</x:v>
      </x:c>
      <x:c r="L71" s="114" t="str">
        <x:v>Годен</x:v>
      </x:c>
      <x:c r="M71" s="115" t="str">
        <x:v>Указан только год</x:v>
      </x:c>
    </x:row>
    <x:row r="72" ht="42" customHeight="1">
      <x:c r="A72" s="114" t="n">
        <x:v>66</x:v>
      </x:c>
      <x:c r="B72" s="115" t="str">
        <x:v>Бинт</x:v>
      </x:c>
      <x:c r="C72" s="115" t="str"/>
      <x:c r="D72" s="115" t="str">
        <x:v>перевязочный материал</x:v>
      </x:c>
      <x:c r="E72" s="116" t="n">
        <x:v>1</x:v>
      </x:c>
      <x:c r="F72" s="117" t="str">
        <x:v>штука</x:v>
      </x:c>
      <x:c r="G72" s="118" t="str"/>
      <x:c r="H72" s="114" t="str">
        <x:v>не указан</x:v>
      </x:c>
      <x:c r="I72" s="114" t="str">
        <x:v>Нижний ящик</x:v>
      </x:c>
      <x:c r="J72" s="115" t="str">
        <x:v>Бинт</x:v>
      </x:c>
      <x:c r="K72" s="114" t="str">
        <x:v>Да</x:v>
      </x:c>
      <x:c r="L72" s="114" t="str">
        <x:v>Не указан</x:v>
      </x:c>
      <x:c r="M72" s="115" t="str">
        <x:v>Количество и срок не указаны</x:v>
      </x:c>
    </x:row>
    <x:row r="73" ht="42" customHeight="1">
      <x:c r="A73" s="114" t="n">
        <x:v>67</x:v>
      </x:c>
      <x:c r="B73" s="115" t="str">
        <x:v>Мультипласт</x:v>
      </x:c>
      <x:c r="C73" s="115" t="str"/>
      <x:c r="D73" s="115" t="str">
        <x:v>лейкопластырь</x:v>
      </x:c>
      <x:c r="E73" s="116" t="n">
        <x:v>1</x:v>
      </x:c>
      <x:c r="F73" s="117" t="str">
        <x:v>упаковка</x:v>
      </x:c>
      <x:c r="G73" s="118" t="str">
        <x:v>2028-07-31</x:v>
      </x:c>
      <x:c r="H73" s="114" t="str">
        <x:v>месяц</x:v>
      </x:c>
      <x:c r="I73" s="114" t="str">
        <x:v>Нижний ящик</x:v>
      </x:c>
      <x:c r="J73" s="115" t="str">
        <x:v>Мультипласт до 07.2028</x:v>
      </x:c>
      <x:c r="K73" s="114" t="str">
        <x:v>Нет</x:v>
      </x:c>
      <x:c r="L73" s="114" t="str">
        <x:v>Годен</x:v>
      </x:c>
      <x:c r="M73" s="115" t="str"/>
    </x:row>
    <x:row r="74" ht="42" customHeight="1">
      <x:c r="A74" s="114" t="n">
        <x:v>68</x:v>
      </x:c>
      <x:c r="B74" s="115" t="str">
        <x:v>Selenium Dr. Zubareva</x:v>
      </x:c>
      <x:c r="C74" s="115" t="str">
        <x:v>150 мкг</x:v>
      </x:c>
      <x:c r="D74" s="115" t="str">
        <x:v>добавка</x:v>
      </x:c>
      <x:c r="E74" s="116" t="n">
        <x:v>1</x:v>
      </x:c>
      <x:c r="F74" s="117" t="str">
        <x:v>упаковка</x:v>
      </x:c>
      <x:c r="G74" s="118" t="str"/>
      <x:c r="H74" s="114" t="str">
        <x:v>не указан</x:v>
      </x:c>
      <x:c r="I74" s="114" t="str">
        <x:v>Нижний ящик</x:v>
      </x:c>
      <x:c r="J74" s="115" t="str">
        <x:v>Selenium 150 mcg Dr. Zubareva</x:v>
      </x:c>
      <x:c r="K74" s="114" t="str">
        <x:v>Да</x:v>
      </x:c>
      <x:c r="L74" s="114" t="str">
        <x:v>Не указан</x:v>
      </x:c>
      <x:c r="M74" s="115" t="str">
        <x:v>Срок годности не указан</x:v>
      </x:c>
    </x:row>
    <x:row r="75" ht="42" customHeight="1">
      <x:c r="A75" s="114" t="n">
        <x:v>69</x:v>
      </x:c>
      <x:c r="B75" s="115" t="str">
        <x:v>SuperUm</x:v>
      </x:c>
      <x:c r="C75" s="115" t="str"/>
      <x:c r="D75" s="115" t="str">
        <x:v>комплекс при похмелье</x:v>
      </x:c>
      <x:c r="E75" s="116" t="n">
        <x:v>1</x:v>
      </x:c>
      <x:c r="F75" s="117" t="str">
        <x:v>упаковка</x:v>
      </x:c>
      <x:c r="G75" s="118" t="str"/>
      <x:c r="H75" s="114" t="str">
        <x:v>не указан</x:v>
      </x:c>
      <x:c r="I75" s="114" t="str">
        <x:v>Нижний ящик</x:v>
      </x:c>
      <x:c r="J75" s="115" t="str">
        <x:v>SuperUm комплекс при похмелье</x:v>
      </x:c>
      <x:c r="K75" s="114" t="str">
        <x:v>Да</x:v>
      </x:c>
      <x:c r="L75" s="114" t="str">
        <x:v>Не указан</x:v>
      </x:c>
      <x:c r="M75" s="115" t="str">
        <x:v>Срок годности не указан</x:v>
      </x:c>
    </x:row>
    <x:row r="76" ht="42" customHeight="1">
      <x:c r="A76" s="114" t="n">
        <x:v>70</x:v>
      </x:c>
      <x:c r="B76" s="115" t="str">
        <x:v>Микфетин</x:v>
      </x:c>
      <x:c r="C76" s="115" t="str"/>
      <x:c r="D76" s="115" t="str">
        <x:v>средство без указанной формы</x:v>
      </x:c>
      <x:c r="E76" s="116" t="n">
        <x:v>1</x:v>
      </x:c>
      <x:c r="F76" s="117" t="str">
        <x:v>упаковка</x:v>
      </x:c>
      <x:c r="G76" s="118" t="str">
        <x:v>2027-10-31</x:v>
      </x:c>
      <x:c r="H76" s="114" t="str">
        <x:v>месяц</x:v>
      </x:c>
      <x:c r="I76" s="114" t="str">
        <x:v>Нижний ящик</x:v>
      </x:c>
      <x:c r="J76" s="115" t="str">
        <x:v>Микфетин до 10.2027</x:v>
      </x:c>
      <x:c r="K76" s="114" t="str">
        <x:v>Да</x:v>
      </x:c>
      <x:c r="L76" s="114" t="str">
        <x:v>Годен</x:v>
      </x:c>
      <x:c r="M76" s="115" t="str">
        <x:v>Название и форму следует сверить с упаковкой</x:v>
      </x:c>
    </x:row>
    <x:row r="77" ht="42" customHeight="1">
      <x:c r="A77" s="114" t="n">
        <x:v>71</x:v>
      </x:c>
      <x:c r="B77" s="115" t="str">
        <x:v>Рефурокс</x:v>
      </x:c>
      <x:c r="C77" s="115" t="str"/>
      <x:c r="D77" s="115" t="str">
        <x:v>блистер без упаковки</x:v>
      </x:c>
      <x:c r="E77" s="116" t="n">
        <x:v>1</x:v>
      </x:c>
      <x:c r="F77" s="117" t="str">
        <x:v>блистер</x:v>
      </x:c>
      <x:c r="G77" s="118" t="str">
        <x:v>2029-02-28</x:v>
      </x:c>
      <x:c r="H77" s="114" t="str">
        <x:v>месяц</x:v>
      </x:c>
      <x:c r="I77" s="114" t="str">
        <x:v>Нижний ящик</x:v>
      </x:c>
      <x:c r="J77" s="115" t="str">
        <x:v>Рефурокс, только блистер, до 02.2029</x:v>
      </x:c>
      <x:c r="K77" s="114" t="str">
        <x:v>Нет</x:v>
      </x:c>
      <x:c r="L77" s="114" t="str">
        <x:v>Годен</x:v>
      </x:c>
      <x:c r="M77" s="115" t="str"/>
    </x:row>
    <x:row r="78" ht="42" customHeight="1">
      <x:c r="A78" s="114" t="n">
        <x:v>72</x:v>
      </x:c>
      <x:c r="B78" s="115" t="str">
        <x:v>Лоперамид-Акрихин</x:v>
      </x:c>
      <x:c r="C78" s="115" t="str"/>
      <x:c r="D78" s="115" t="str">
        <x:v>блистер без упаковки</x:v>
      </x:c>
      <x:c r="E78" s="116" t="n">
        <x:v>1</x:v>
      </x:c>
      <x:c r="F78" s="117" t="str">
        <x:v>блистер</x:v>
      </x:c>
      <x:c r="G78" s="118" t="str">
        <x:v>2027-11-30</x:v>
      </x:c>
      <x:c r="H78" s="114" t="str">
        <x:v>месяц</x:v>
      </x:c>
      <x:c r="I78" s="114" t="str">
        <x:v>Нижний ящик</x:v>
      </x:c>
      <x:c r="J78" s="115" t="str">
        <x:v>Лоперамид Акрихин, только блистер, до 11.2027</x:v>
      </x:c>
      <x:c r="K78" s="114" t="str">
        <x:v>Нет</x:v>
      </x:c>
      <x:c r="L78" s="114" t="str">
        <x:v>Годен</x:v>
      </x:c>
      <x:c r="M78" s="115" t="str"/>
    </x:row>
    <x:row r="79" ht="42" customHeight="1">
      <x:c r="A79" s="114" t="n">
        <x:v>73</x:v>
      </x:c>
      <x:c r="B79" s="115" t="str">
        <x:v>Лозап</x:v>
      </x:c>
      <x:c r="C79" s="115" t="str"/>
      <x:c r="D79" s="115" t="str">
        <x:v>блистер без упаковки</x:v>
      </x:c>
      <x:c r="E79" s="116" t="n">
        <x:v>1</x:v>
      </x:c>
      <x:c r="F79" s="117" t="str">
        <x:v>блистер</x:v>
      </x:c>
      <x:c r="G79" s="118" t="str">
        <x:v>2026-11-30</x:v>
      </x:c>
      <x:c r="H79" s="114" t="str">
        <x:v>месяц</x:v>
      </x:c>
      <x:c r="I79" s="114" t="str">
        <x:v>Нижний ящик</x:v>
      </x:c>
      <x:c r="J79" s="115" t="str">
        <x:v>Лозап, только блистер, до 11.2026</x:v>
      </x:c>
      <x:c r="K79" s="114" t="str">
        <x:v>Нет</x:v>
      </x:c>
      <x:c r="L79" s="114" t="str">
        <x:v>До 90 дней</x:v>
      </x:c>
      <x:c r="M79" s="115" t="str"/>
    </x:row>
    <x:row r="80" ht="42" customHeight="1">
      <x:c r="A80" s="114" t="n">
        <x:v>74</x:v>
      </x:c>
      <x:c r="B80" s="115" t="str">
        <x:v>Парацетамол Реневал</x:v>
      </x:c>
      <x:c r="C80" s="115" t="str"/>
      <x:c r="D80" s="115" t="str">
        <x:v>блистер без упаковки</x:v>
      </x:c>
      <x:c r="E80" s="116" t="n">
        <x:v>1</x:v>
      </x:c>
      <x:c r="F80" s="117" t="str">
        <x:v>блистер</x:v>
      </x:c>
      <x:c r="G80" s="118" t="str">
        <x:v>2027-10-31</x:v>
      </x:c>
      <x:c r="H80" s="114" t="str">
        <x:v>месяц</x:v>
      </x:c>
      <x:c r="I80" s="114" t="str">
        <x:v>Нижний ящик</x:v>
      </x:c>
      <x:c r="J80" s="115" t="str">
        <x:v>Парацетамол Реневал, только блистер, до 10.2027</x:v>
      </x:c>
      <x:c r="K80" s="114" t="str">
        <x:v>Нет</x:v>
      </x:c>
      <x:c r="L80" s="114" t="str">
        <x:v>Годен</x:v>
      </x:c>
      <x:c r="M80" s="115" t="str"/>
    </x:row>
    <x:row r="81" ht="42" customHeight="1">
      <x:c r="A81" s="114" t="n">
        <x:v>75</x:v>
      </x:c>
      <x:c r="B81" s="115" t="str">
        <x:v>Ацетилсалициловая кислота Медисорб</x:v>
      </x:c>
      <x:c r="C81" s="115" t="str"/>
      <x:c r="D81" s="115" t="str">
        <x:v>таблетки</x:v>
      </x:c>
      <x:c r="E81" s="116" t="n">
        <x:v>1</x:v>
      </x:c>
      <x:c r="F81" s="117" t="str">
        <x:v>упаковка</x:v>
      </x:c>
      <x:c r="G81" s="118" t="str">
        <x:v>2027-11-30</x:v>
      </x:c>
      <x:c r="H81" s="114" t="str">
        <x:v>месяц</x:v>
      </x:c>
      <x:c r="I81" s="114" t="str">
        <x:v>Нижний ящик</x:v>
      </x:c>
      <x:c r="J81" s="115" t="str">
        <x:v>Ацетилсалициловая кислота Медисорб до 11.2027</x:v>
      </x:c>
      <x:c r="K81" s="114" t="str">
        <x:v>Нет</x:v>
      </x:c>
      <x:c r="L81" s="114" t="str">
        <x:v>Годен</x:v>
      </x:c>
      <x:c r="M81" s="115" t="str"/>
    </x:row>
    <x:row r="82" ht="42" customHeight="1">
      <x:c r="A82" s="114" t="n">
        <x:v>76</x:v>
      </x:c>
      <x:c r="B82" s="115" t="str">
        <x:v>Уголь активированный</x:v>
      </x:c>
      <x:c r="C82" s="115" t="str"/>
      <x:c r="D82" s="115" t="str">
        <x:v>таблетки</x:v>
      </x:c>
      <x:c r="E82" s="116" t="n">
        <x:v>1</x:v>
      </x:c>
      <x:c r="F82" s="117" t="str">
        <x:v>упаковка</x:v>
      </x:c>
      <x:c r="G82" s="118" t="str">
        <x:v>2027-03-31</x:v>
      </x:c>
      <x:c r="H82" s="114" t="str">
        <x:v>месяц</x:v>
      </x:c>
      <x:c r="I82" s="114" t="str">
        <x:v>Нижний ящик</x:v>
      </x:c>
      <x:c r="J82" s="115" t="str">
        <x:v>Уголь активированный до 03.2027</x:v>
      </x:c>
      <x:c r="K82" s="114" t="str">
        <x:v>Нет</x:v>
      </x:c>
      <x:c r="L82" s="114" t="str">
        <x:v>До 180 дней</x:v>
      </x:c>
      <x:c r="M82" s="115" t="str"/>
    </x:row>
    <x:row r="83" ht="42" customHeight="1">
      <x:c r="A83" s="114" t="n">
        <x:v>77</x:v>
      </x:c>
      <x:c r="B83" s="115" t="str">
        <x:v>Скорая помощь</x:v>
      </x:c>
      <x:c r="C83" s="115" t="str"/>
      <x:c r="D83" s="115" t="str">
        <x:v>мазь</x:v>
      </x:c>
      <x:c r="E83" s="116" t="n">
        <x:v>1</x:v>
      </x:c>
      <x:c r="F83" s="117" t="str">
        <x:v>тюбик</x:v>
      </x:c>
      <x:c r="G83" s="118" t="str"/>
      <x:c r="H83" s="114" t="str">
        <x:v>не указан</x:v>
      </x:c>
      <x:c r="I83" s="114" t="str">
        <x:v>Нижний ящик</x:v>
      </x:c>
      <x:c r="J83" s="115" t="str">
        <x:v>Мазь Скорая помощь</x:v>
      </x:c>
      <x:c r="K83" s="114" t="str">
        <x:v>Да</x:v>
      </x:c>
      <x:c r="L83" s="114" t="str">
        <x:v>Не указан</x:v>
      </x:c>
      <x:c r="M83" s="115" t="str">
        <x:v>Срок годности не указан</x:v>
      </x:c>
    </x:row>
    <x:row r="84" ht="42" customHeight="1">
      <x:c r="A84" s="114" t="n">
        <x:v>78</x:v>
      </x:c>
      <x:c r="B84" s="115" t="str">
        <x:v>Атаракс</x:v>
      </x:c>
      <x:c r="C84" s="115" t="str"/>
      <x:c r="D84" s="115" t="str">
        <x:v>блистер без упаковки</x:v>
      </x:c>
      <x:c r="E84" s="116" t="n">
        <x:v>1</x:v>
      </x:c>
      <x:c r="F84" s="117" t="str">
        <x:v>блистер</x:v>
      </x:c>
      <x:c r="G84" s="118" t="str">
        <x:v>2028-01-31</x:v>
      </x:c>
      <x:c r="H84" s="114" t="str">
        <x:v>месяц</x:v>
      </x:c>
      <x:c r="I84" s="114" t="str">
        <x:v>Нижний ящик</x:v>
      </x:c>
      <x:c r="J84" s="115" t="str">
        <x:v>Атаракс, только блистер, до 01.2028</x:v>
      </x:c>
      <x:c r="K84" s="114" t="str">
        <x:v>Нет</x:v>
      </x:c>
      <x:c r="L84" s="114" t="str">
        <x:v>Годен</x:v>
      </x:c>
      <x:c r="M84" s="115" t="str"/>
    </x:row>
    <x:row r="85" ht="42" customHeight="1">
      <x:c r="A85" s="114" t="n">
        <x:v>79</x:v>
      </x:c>
      <x:c r="B85" s="115" t="str">
        <x:v>Форманорм</x:v>
      </x:c>
      <x:c r="C85" s="115" t="str">
        <x:v>500 мг</x:v>
      </x:c>
      <x:c r="D85" s="115" t="str">
        <x:v>капсулы</x:v>
      </x:c>
      <x:c r="E85" s="116" t="n">
        <x:v>60</x:v>
      </x:c>
      <x:c r="F85" s="117" t="str">
        <x:v>капсула</x:v>
      </x:c>
      <x:c r="G85" s="118" t="str">
        <x:v>2027-08-31</x:v>
      </x:c>
      <x:c r="H85" s="114" t="str">
        <x:v>месяц</x:v>
      </x:c>
      <x:c r="I85" s="114" t="str">
        <x:v>Нижний ящик</x:v>
      </x:c>
      <x:c r="J85" s="115" t="str">
        <x:v>Форманорм, 60 капсул по 500 мг, до 08.2027</x:v>
      </x:c>
      <x:c r="K85" s="114" t="str">
        <x:v>Да</x:v>
      </x:c>
      <x:c r="L85" s="114" t="str">
        <x:v>Годен</x:v>
      </x:c>
      <x:c r="M85" s="115" t="str">
        <x:v>Название следует сверить с упаковкой</x:v>
      </x:c>
    </x:row>
    <x:row r="86" ht="42" customHeight="1">
      <x:c r="A86" s="114" t="n">
        <x:v>80</x:v>
      </x:c>
      <x:c r="B86" s="115" t="str">
        <x:v>Крымский травник Бишофит</x:v>
      </x:c>
      <x:c r="C86" s="115" t="str"/>
      <x:c r="D86" s="115" t="str">
        <x:v>магниевое масло</x:v>
      </x:c>
      <x:c r="E86" s="116" t="n">
        <x:v>1</x:v>
      </x:c>
      <x:c r="F86" s="117" t="str">
        <x:v>флакон</x:v>
      </x:c>
      <x:c r="G86" s="118" t="str">
        <x:v>2028-12-31</x:v>
      </x:c>
      <x:c r="H86" s="114" t="str">
        <x:v>год</x:v>
      </x:c>
      <x:c r="I86" s="114" t="str">
        <x:v>Нижний ящик</x:v>
      </x:c>
      <x:c r="J86" s="115" t="str">
        <x:v>Крымский травник, магниевое масло Бишофит, до 2028</x:v>
      </x:c>
      <x:c r="K86" s="114" t="str">
        <x:v>Да</x:v>
      </x:c>
      <x:c r="L86" s="114" t="str">
        <x:v>Годен</x:v>
      </x:c>
      <x:c r="M86" s="115" t="str">
        <x:v>Указан только год</x:v>
      </x:c>
    </x:row>
    <x:row r="87" ht="42" customHeight="1">
      <x:c r="A87" s="114" t="n">
        <x:v>81</x:v>
      </x:c>
      <x:c r="B87" s="115" t="str">
        <x:v>Чёрный жемчуг</x:v>
      </x:c>
      <x:c r="C87" s="115" t="str"/>
      <x:c r="D87" s="115" t="str">
        <x:v>крем-гель для умывания</x:v>
      </x:c>
      <x:c r="E87" s="116" t="n">
        <x:v>1</x:v>
      </x:c>
      <x:c r="F87" s="117" t="str">
        <x:v>флакон</x:v>
      </x:c>
      <x:c r="G87" s="118" t="str">
        <x:v>2027-03-31</x:v>
      </x:c>
      <x:c r="H87" s="114" t="str">
        <x:v>месяц</x:v>
      </x:c>
      <x:c r="I87" s="114" t="str">
        <x:v>Нижний ящик</x:v>
      </x:c>
      <x:c r="J87" s="115" t="str">
        <x:v>Черный жемчуг, крем-гель для умывания, до 03.2027</x:v>
      </x:c>
      <x:c r="K87" s="114" t="str">
        <x:v>Нет</x:v>
      </x:c>
      <x:c r="L87" s="114" t="str">
        <x:v>До 180 дней</x:v>
      </x:c>
      <x:c r="M87" s="115" t="str"/>
    </x:row>
    <x:row r="88" ht="42" customHeight="1">
      <x:c r="A88" s="114" t="n">
        <x:v>82</x:v>
      </x:c>
      <x:c r="B88" s="115" t="str">
        <x:v>Лошадиное здоровье Разгибатель</x:v>
      </x:c>
      <x:c r="C88" s="115" t="str"/>
      <x:c r="D88" s="115" t="str">
        <x:v>бальзам</x:v>
      </x:c>
      <x:c r="E88" s="116" t="n">
        <x:v>1</x:v>
      </x:c>
      <x:c r="F88" s="117" t="str">
        <x:v>упаковка</x:v>
      </x:c>
      <x:c r="G88" s="118" t="str">
        <x:v>2028-12-31</x:v>
      </x:c>
      <x:c r="H88" s="114" t="str">
        <x:v>год</x:v>
      </x:c>
      <x:c r="I88" s="114" t="str">
        <x:v>Нижний ящик</x:v>
      </x:c>
      <x:c r="J88" s="115" t="str">
        <x:v>Лошадиное здоровье, бальзам Разгибатель, до 2028</x:v>
      </x:c>
      <x:c r="K88" s="114" t="str">
        <x:v>Да</x:v>
      </x:c>
      <x:c r="L88" s="114" t="str">
        <x:v>Годен</x:v>
      </x:c>
      <x:c r="M88" s="115" t="str">
        <x:v>Указан только год</x:v>
      </x:c>
    </x:row>
    <x:row r="89" ht="42" customHeight="1">
      <x:c r="A89" s="114" t="n">
        <x:v>83</x:v>
      </x:c>
      <x:c r="B89" s="115" t="str">
        <x:v>Лазолван</x:v>
      </x:c>
      <x:c r="C89" s="115" t="str">
        <x:v>амброксол 7,5 мг/мл</x:v>
      </x:c>
      <x:c r="D89" s="115" t="str">
        <x:v>раствор</x:v>
      </x:c>
      <x:c r="E89" s="116" t="n">
        <x:v>1</x:v>
      </x:c>
      <x:c r="F89" s="117" t="str">
        <x:v>флакон</x:v>
      </x:c>
      <x:c r="G89" s="118" t="str">
        <x:v>2027-08-31</x:v>
      </x:c>
      <x:c r="H89" s="114" t="str">
        <x:v>месяц</x:v>
      </x:c>
      <x:c r="I89" s="114" t="str">
        <x:v>Нижний ящик</x:v>
      </x:c>
      <x:c r="J89" s="115" t="str">
        <x:v>Лазолван, амброксол 7,5 мг/мл, до 08.2027</x:v>
      </x:c>
      <x:c r="K89" s="114" t="str">
        <x:v>Нет</x:v>
      </x:c>
      <x:c r="L89" s="114" t="str">
        <x:v>Годен</x:v>
      </x:c>
      <x:c r="M89" s="115" t="str"/>
    </x:row>
    <x:row r="90" ht="42" customHeight="1">
      <x:c r="A90" s="114" t="n">
        <x:v>84</x:v>
      </x:c>
      <x:c r="B90" s="115" t="str">
        <x:v>Пенталгин Экстра-гель</x:v>
      </x:c>
      <x:c r="C90" s="115" t="str"/>
      <x:c r="D90" s="115" t="str">
        <x:v>гель</x:v>
      </x:c>
      <x:c r="E90" s="116" t="n">
        <x:v>1</x:v>
      </x:c>
      <x:c r="F90" s="117" t="str">
        <x:v>тюбик</x:v>
      </x:c>
      <x:c r="G90" s="118" t="str">
        <x:v>2028-12-31</x:v>
      </x:c>
      <x:c r="H90" s="114" t="str">
        <x:v>год</x:v>
      </x:c>
      <x:c r="I90" s="114" t="str">
        <x:v>Нижний ящик</x:v>
      </x:c>
      <x:c r="J90" s="115" t="str">
        <x:v>Пенталгин экстра гель до 2028</x:v>
      </x:c>
      <x:c r="K90" s="114" t="str">
        <x:v>Да</x:v>
      </x:c>
      <x:c r="L90" s="114" t="str">
        <x:v>Годен</x:v>
      </x:c>
      <x:c r="M90" s="115" t="str">
        <x:v>Указан только год</x:v>
      </x:c>
    </x:row>
    <x:row r="91" ht="42" customHeight="1">
      <x:c r="A91" s="114" t="n">
        <x:v>85</x:v>
      </x:c>
      <x:c r="B91" s="115" t="str">
        <x:v>Цитрамон П</x:v>
      </x:c>
      <x:c r="C91" s="115" t="str"/>
      <x:c r="D91" s="115" t="str">
        <x:v>блистер без упаковки</x:v>
      </x:c>
      <x:c r="E91" s="116" t="n">
        <x:v>1</x:v>
      </x:c>
      <x:c r="F91" s="117" t="str">
        <x:v>блистер</x:v>
      </x:c>
      <x:c r="G91" s="118" t="str">
        <x:v>2028-02-29</x:v>
      </x:c>
      <x:c r="H91" s="114" t="str">
        <x:v>месяц</x:v>
      </x:c>
      <x:c r="I91" s="114" t="str">
        <x:v>Нижний ящик</x:v>
      </x:c>
      <x:c r="J91" s="115" t="str">
        <x:v>Цитрамон П, только блистер, до 02.2028</x:v>
      </x:c>
      <x:c r="K91" s="114" t="str">
        <x:v>Нет</x:v>
      </x:c>
      <x:c r="L91" s="114" t="str">
        <x:v>Годен</x:v>
      </x:c>
      <x:c r="M91" s="115" t="str"/>
    </x:row>
    <x:row r="92" ht="42" customHeight="1">
      <x:c r="A92" s="114" t="n">
        <x:v>86</x:v>
      </x:c>
      <x:c r="B92" s="115" t="str">
        <x:v>Тизин Классик</x:v>
      </x:c>
      <x:c r="C92" s="115" t="str"/>
      <x:c r="D92" s="115" t="str">
        <x:v>капли</x:v>
      </x:c>
      <x:c r="E92" s="116" t="n">
        <x:v>1</x:v>
      </x:c>
      <x:c r="F92" s="117" t="str">
        <x:v>флакон</x:v>
      </x:c>
      <x:c r="G92" s="118" t="str">
        <x:v>2029-02-28</x:v>
      </x:c>
      <x:c r="H92" s="114" t="str">
        <x:v>месяц</x:v>
      </x:c>
      <x:c r="I92" s="114" t="str">
        <x:v>Нижний ящик</x:v>
      </x:c>
      <x:c r="J92" s="115" t="str">
        <x:v>Тизин Классик, капли, до 02.2029</x:v>
      </x:c>
      <x:c r="K92" s="114" t="str">
        <x:v>Нет</x:v>
      </x:c>
      <x:c r="L92" s="114" t="str">
        <x:v>Годен</x:v>
      </x:c>
      <x:c r="M92" s="115" t="str"/>
    </x:row>
    <x:row r="93" ht="42" customHeight="1">
      <x:c r="A93" s="114" t="n">
        <x:v>87</x:v>
      </x:c>
      <x:c r="B93" s="115" t="str">
        <x:v>Натрия хлорид-СОЛОфарм</x:v>
      </x:c>
      <x:c r="C93" s="115" t="str">
        <x:v>0,9%</x:v>
      </x:c>
      <x:c r="D93" s="115" t="str">
        <x:v>раствор</x:v>
      </x:c>
      <x:c r="E93" s="116" t="n">
        <x:v>1</x:v>
      </x:c>
      <x:c r="F93" s="117" t="str">
        <x:v>флакон</x:v>
      </x:c>
      <x:c r="G93" s="118" t="str">
        <x:v>2030-12-31</x:v>
      </x:c>
      <x:c r="H93" s="114" t="str">
        <x:v>год</x:v>
      </x:c>
      <x:c r="I93" s="114" t="str">
        <x:v>Нижний ящик</x:v>
      </x:c>
      <x:c r="J93" s="115" t="str">
        <x:v>Натрия Хлорид-СОЛОфарм 0,9% до 2030</x:v>
      </x:c>
      <x:c r="K93" s="114" t="str">
        <x:v>Да</x:v>
      </x:c>
      <x:c r="L93" s="114" t="str">
        <x:v>Годен</x:v>
      </x:c>
      <x:c r="M93" s="115" t="str">
        <x:v>Указан только год</x:v>
      </x:c>
    </x:row>
    <x:row r="94" ht="42" customHeight="1">
      <x:c r="A94" s="114" t="n">
        <x:v>88</x:v>
      </x:c>
      <x:c r="B94" s="115" t="str">
        <x:v>Шунгит</x:v>
      </x:c>
      <x:c r="C94" s="115" t="str"/>
      <x:c r="D94" s="115" t="str">
        <x:v>крем-бальзам</x:v>
      </x:c>
      <x:c r="E94" s="116" t="n">
        <x:v>1</x:v>
      </x:c>
      <x:c r="F94" s="117" t="str">
        <x:v>упаковка</x:v>
      </x:c>
      <x:c r="G94" s="118" t="str">
        <x:v>2028-12-31</x:v>
      </x:c>
      <x:c r="H94" s="114" t="str">
        <x:v>год</x:v>
      </x:c>
      <x:c r="I94" s="114" t="str">
        <x:v>Нижний ящик</x:v>
      </x:c>
      <x:c r="J94" s="115" t="str">
        <x:v>Шунгит, крем-бальзам, до 2028</x:v>
      </x:c>
      <x:c r="K94" s="114" t="str">
        <x:v>Да</x:v>
      </x:c>
      <x:c r="L94" s="114" t="str">
        <x:v>Годен</x:v>
      </x:c>
      <x:c r="M94" s="115" t="str">
        <x:v>Указан только год</x:v>
      </x:c>
    </x:row>
    <x:row r="95" ht="42" customHeight="1">
      <x:c r="A95" s="114" t="n">
        <x:v>89</x:v>
      </x:c>
      <x:c r="B95" s="115" t="str">
        <x:v>Градусник</x:v>
      </x:c>
      <x:c r="C95" s="115" t="str"/>
      <x:c r="D95" s="115" t="str">
        <x:v>термометр</x:v>
      </x:c>
      <x:c r="E95" s="116" t="n">
        <x:v>3</x:v>
      </x:c>
      <x:c r="F95" s="117" t="str">
        <x:v>штука</x:v>
      </x:c>
      <x:c r="G95" s="118" t="str"/>
      <x:c r="H95" s="114" t="str">
        <x:v>не применимо</x:v>
      </x:c>
      <x:c r="I95" s="114" t="str">
        <x:v>Нижний ящик</x:v>
      </x:c>
      <x:c r="J95" s="115" t="str">
        <x:v>Градусники, 3 штуки. Нижний ящик</x:v>
      </x:c>
      <x:c r="K95" s="114" t="str">
        <x:v>Да</x:v>
      </x:c>
      <x:c r="L95" s="114" t="str">
        <x:v>Не указан</x:v>
      </x:c>
      <x:c r="M95" s="115" t="str">
        <x:v>Срок годности не применяется</x:v>
      </x:c>
    </x:row>
    <x:row r="96" ht="42" customHeight="1">
      <x:c r="A96" s="114" t="n">
        <x:v>90</x:v>
      </x:c>
      <x:c r="B96" s="115" t="str">
        <x:v>Вата, бинты, пластыри</x:v>
      </x:c>
      <x:c r="C96" s="115" t="str"/>
      <x:c r="D96" s="115" t="str">
        <x:v>перевязочные материалы</x:v>
      </x:c>
      <x:c r="E96" s="116" t="n">
        <x:v>1</x:v>
      </x:c>
      <x:c r="F96" s="117" t="str">
        <x:v>набор</x:v>
      </x:c>
      <x:c r="G96" s="118" t="str"/>
      <x:c r="H96" s="114" t="str">
        <x:v>не указан</x:v>
      </x:c>
      <x:c r="I96" s="114" t="str">
        <x:v>Нижний ящик</x:v>
      </x:c>
      <x:c r="J96" s="115" t="str">
        <x:v>Вата, бинты, пластыри. Нижний ящик</x:v>
      </x:c>
      <x:c r="K96" s="114" t="str">
        <x:v>Да</x:v>
      </x:c>
      <x:c r="L96" s="114" t="str">
        <x:v>Не указан</x:v>
      </x:c>
      <x:c r="M96" s="115" t="str">
        <x:v>Количество и сроки не указаны</x:v>
      </x:c>
    </x:row>
    <x:row r="97" ht="42" customHeight="1">
      <x:c r="A97" s="114" t="n">
        <x:v>91</x:v>
      </x:c>
      <x:c r="B97" s="115" t="str">
        <x:v>Спиртовая салфетка</x:v>
      </x:c>
      <x:c r="C97" s="115" t="str"/>
      <x:c r="D97" s="115" t="str">
        <x:v>салфетка</x:v>
      </x:c>
      <x:c r="E97" s="116" t="n">
        <x:v>1</x:v>
      </x:c>
      <x:c r="F97" s="117" t="str">
        <x:v>упаковка</x:v>
      </x:c>
      <x:c r="G97" s="118" t="str"/>
      <x:c r="H97" s="114" t="str">
        <x:v>не указан</x:v>
      </x:c>
      <x:c r="I97" s="114" t="str">
        <x:v>Нижний ящик</x:v>
      </x:c>
      <x:c r="J97" s="115" t="str">
        <x:v>Спиртовая салфетка. Нижний ящик</x:v>
      </x:c>
      <x:c r="K97" s="114" t="str">
        <x:v>Да</x:v>
      </x:c>
      <x:c r="L97" s="114" t="str">
        <x:v>Не указан</x:v>
      </x:c>
      <x:c r="M97" s="115" t="str">
        <x:v>Количество и срок не указаны</x:v>
      </x:c>
    </x:row>
    <x:row r="98" ht="42" customHeight="1">
      <x:c r="A98" s="114" t="n">
        <x:v>92</x:v>
      </x:c>
      <x:c r="B98" s="115" t="str">
        <x:v>Шприцы</x:v>
      </x:c>
      <x:c r="C98" s="115" t="str"/>
      <x:c r="D98" s="115" t="str">
        <x:v>медицинские изделия</x:v>
      </x:c>
      <x:c r="E98" s="116" t="n">
        <x:v>1</x:v>
      </x:c>
      <x:c r="F98" s="117" t="str">
        <x:v>набор</x:v>
      </x:c>
      <x:c r="G98" s="118" t="str"/>
      <x:c r="H98" s="114" t="str">
        <x:v>не указан</x:v>
      </x:c>
      <x:c r="I98" s="114" t="str">
        <x:v>Нижний ящик</x:v>
      </x:c>
      <x:c r="J98" s="115" t="str">
        <x:v>Шприцы. Нижний ящик</x:v>
      </x:c>
      <x:c r="K98" s="114" t="str">
        <x:v>Да</x:v>
      </x:c>
      <x:c r="L98" s="114" t="str">
        <x:v>Не указан</x:v>
      </x:c>
      <x:c r="M98" s="115" t="str">
        <x:v>Количество и срок не указаны</x:v>
      </x:c>
    </x:row>
    <x:row r="99" ht="42" customHeight="1">
      <x:c r="A99" s="114" t="n">
        <x:v>93</x:v>
      </x:c>
      <x:c r="B99" s="115" t="str">
        <x:v>Долфин</x:v>
      </x:c>
      <x:c r="C99" s="115" t="str"/>
      <x:c r="D99" s="115" t="str">
        <x:v>средство для промывания носа</x:v>
      </x:c>
      <x:c r="E99" s="116" t="n">
        <x:v>1</x:v>
      </x:c>
      <x:c r="F99" s="117" t="str">
        <x:v>упаковка</x:v>
      </x:c>
      <x:c r="G99" s="118" t="str">
        <x:v>2027-01-31</x:v>
      </x:c>
      <x:c r="H99" s="114" t="str">
        <x:v>месяц</x:v>
      </x:c>
      <x:c r="I99" s="114" t="str">
        <x:v>Нижний ящик</x:v>
      </x:c>
      <x:c r="J99" s="115" t="str">
        <x:v>Долфин для промывания носа до 01.2027</x:v>
      </x:c>
      <x:c r="K99" s="114" t="str">
        <x:v>Нет</x:v>
      </x:c>
      <x:c r="L99" s="114" t="str">
        <x:v>До 180 дней</x:v>
      </x:c>
      <x:c r="M99" s="115" t="str"/>
    </x:row>
    <x:row r="100" ht="42" customHeight="1">
      <x:c r="A100" s="114" t="n">
        <x:v>94</x:v>
      </x:c>
      <x:c r="B100" s="115" t="str">
        <x:v>Перекись водорода</x:v>
      </x:c>
      <x:c r="C100" s="115" t="str">
        <x:v>3%</x:v>
      </x:c>
      <x:c r="D100" s="115" t="str">
        <x:v>раствор</x:v>
      </x:c>
      <x:c r="E100" s="116" t="n">
        <x:v>1</x:v>
      </x:c>
      <x:c r="F100" s="117" t="str">
        <x:v>флакон</x:v>
      </x:c>
      <x:c r="G100" s="118" t="str"/>
      <x:c r="H100" s="114" t="str">
        <x:v>не указан</x:v>
      </x:c>
      <x:c r="I100" s="114" t="str">
        <x:v>Нижний ящик</x:v>
      </x:c>
      <x:c r="J100" s="115" t="str">
        <x:v>Перекись водорода 3%</x:v>
      </x:c>
      <x:c r="K100" s="114" t="str">
        <x:v>Да</x:v>
      </x:c>
      <x:c r="L100" s="114" t="str">
        <x:v>Не указан</x:v>
      </x:c>
      <x:c r="M100" s="115" t="str">
        <x:v>Срок годности не указан</x:v>
      </x:c>
    </x:row>
    <x:row r="101" ht="42" customHeight="1">
      <x:c r="A101" s="119" t="n">
        <x:v>95</x:v>
      </x:c>
      <x:c r="B101" s="120" t="str">
        <x:v>Пантенол</x:v>
      </x:c>
      <x:c r="C101" s="120" t="str"/>
      <x:c r="D101" s="120" t="str">
        <x:v>пенка после загара</x:v>
      </x:c>
      <x:c r="E101" s="121" t="n">
        <x:v>1</x:v>
      </x:c>
      <x:c r="F101" s="122" t="str">
        <x:v>флакон</x:v>
      </x:c>
      <x:c r="G101" s="123" t="str"/>
      <x:c r="H101" s="119" t="str">
        <x:v>не указан</x:v>
      </x:c>
      <x:c r="I101" s="119" t="str">
        <x:v>Нижний ящик</x:v>
      </x:c>
      <x:c r="J101" s="120" t="str">
        <x:v>Пантенол, пенка после загара</x:v>
      </x:c>
      <x:c r="K101" s="119" t="str">
        <x:v>Да</x:v>
      </x:c>
      <x:c r="L101" s="119" t="str">
        <x:v>Не указан</x:v>
      </x:c>
      <x:c r="M101" s="120" t="str">
        <x:v>Срок годности не указан</x:v>
      </x:c>
    </x:row>
  </x:sheetData>
  <x:mergeCells>
    <x:mergeCell ref="A1:M1"/>
    <x:mergeCell ref="A2:M2"/>
  </x:mergeCells>
  <x:conditionalFormatting sqref="I7:I101">
    <x:cfRule type="containsText" dxfId="0" priority="1" operator="containsText" text="Зелёный ящик"/>
  </x:conditionalFormatting>
  <x:conditionalFormatting sqref="K7:K101">
    <x:cfRule type="containsText" dxfId="1" priority="2" operator="containsText" text="Да"/>
  </x:conditionalFormatting>
  <x:conditionalFormatting sqref="L7:L101">
    <x:cfRule type="containsText" dxfId="2" priority="3" operator="containsText" text="Просрочено"/>
    <x:cfRule type="containsText" dxfId="3" priority="4" operator="containsText" text="До 90 дней"/>
    <x:cfRule type="containsText" dxfId="4" priority="5" operator="containsText" text="До 180 дней"/>
    <x:cfRule type="containsText" dxfId="5" priority="6" operator="containsText" text="Годен"/>
    <x:cfRule type="containsText" dxfId="6" priority="7" operator="containsText" text="Не указан"/>
  </x:conditionalFormatting>
  <x:dataValidations count="2">
    <x:dataValidation type="list" sqref="I7:I101">
      <x:formula1>"Зелёный ящик,Нижний ящик"</x:formula1>
    </x:dataValidation>
    <x:dataValidation type="list" sqref="K7:K101">
      <x:formula1>"Да,Нет"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32af84dd7949c8"/>
  </x:tableParts>
</x:worksheet>
</file>